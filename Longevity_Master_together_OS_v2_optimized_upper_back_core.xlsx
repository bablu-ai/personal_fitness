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nka\Downloads\"/>
    </mc:Choice>
  </mc:AlternateContent>
  <xr:revisionPtr revIDLastSave="0" documentId="13_ncr:1_{D08C4A99-AF9A-4C74-9695-71191CA9239D}" xr6:coauthVersionLast="47" xr6:coauthVersionMax="47" xr10:uidLastSave="{00000000-0000-0000-0000-000000000000}"/>
  <bookViews>
    <workbookView xWindow="-110" yWindow="-110" windowWidth="25820" windowHeight="15500" firstSheet="9" activeTab="14" xr2:uid="{00000000-000D-0000-FFFF-FFFF00000000}"/>
  </bookViews>
  <sheets>
    <sheet name="00_README" sheetId="1" r:id="rId1"/>
    <sheet name="01_Personal_Settings" sheetId="2" r:id="rId2"/>
    <sheet name="02_Brief_Today" sheetId="3" r:id="rId3"/>
    <sheet name="03_Guided_Steps" sheetId="4" r:id="rId4"/>
    <sheet name="04_Deep_Protocol" sheetId="5" r:id="rId5"/>
    <sheet name="05_30Day_Rotation" sheetId="6" r:id="rId6"/>
    <sheet name="06_Weekly_Plan" sheetId="7" r:id="rId7"/>
    <sheet name="07_Exercise_Library" sheetId="8" r:id="rId8"/>
    <sheet name="08_Nutrition" sheetId="9" r:id="rId9"/>
    <sheet name="09_Supplements" sheetId="10" r:id="rId10"/>
    <sheet name="10_Blood_Markers" sheetId="11" r:id="rId11"/>
    <sheet name="11_Screenings_Safety" sheetId="12" r:id="rId12"/>
    <sheet name="12_Sleep_Recovery" sheetId="13" r:id="rId13"/>
    <sheet name="13_Cognitive_Social" sheetId="14" r:id="rId14"/>
    <sheet name="14_Dashboard" sheetId="15" r:id="rId15"/>
    <sheet name="15_Sources" sheetId="16" r:id="rId16"/>
    <sheet name="16_Progression_Weeks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5" l="1"/>
  <c r="B11" i="15"/>
  <c r="B10" i="15"/>
  <c r="B8" i="15"/>
  <c r="E33" i="13"/>
  <c r="D33" i="13"/>
  <c r="F32" i="12"/>
  <c r="E32" i="12"/>
  <c r="F31" i="12"/>
  <c r="E31" i="12"/>
  <c r="F30" i="12"/>
  <c r="E30" i="12"/>
  <c r="F29" i="12"/>
  <c r="E29" i="12"/>
  <c r="F28" i="12"/>
  <c r="E28" i="12"/>
  <c r="F27" i="12"/>
  <c r="E27" i="12"/>
  <c r="F26" i="12"/>
  <c r="E26" i="12"/>
  <c r="F25" i="12"/>
  <c r="E25" i="12"/>
  <c r="F21" i="12"/>
  <c r="E21" i="12"/>
  <c r="F20" i="12"/>
  <c r="E20" i="12"/>
  <c r="F19" i="12"/>
  <c r="E19" i="12"/>
  <c r="F18" i="12"/>
  <c r="E18" i="12"/>
  <c r="F17" i="12"/>
  <c r="E17" i="12"/>
  <c r="F16" i="12"/>
  <c r="E16" i="12"/>
  <c r="F15" i="12"/>
  <c r="E15" i="12"/>
  <c r="F14" i="12"/>
  <c r="E14" i="12"/>
  <c r="F13" i="12"/>
  <c r="E13" i="12"/>
  <c r="F12" i="12"/>
  <c r="E12" i="12"/>
  <c r="F11" i="12"/>
  <c r="E11" i="12"/>
  <c r="F10" i="12"/>
  <c r="E10" i="12"/>
  <c r="F9" i="12"/>
  <c r="E9" i="12"/>
  <c r="F8" i="12"/>
  <c r="E8" i="12"/>
  <c r="F7" i="12"/>
  <c r="E7" i="12"/>
  <c r="F6" i="12"/>
  <c r="E6" i="12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D20" i="7"/>
  <c r="E20" i="7" s="1"/>
  <c r="D19" i="7"/>
  <c r="E19" i="7" s="1"/>
  <c r="E18" i="7"/>
  <c r="D18" i="7"/>
  <c r="D17" i="7"/>
  <c r="E17" i="7" s="1"/>
  <c r="D16" i="7"/>
  <c r="E16" i="7" s="1"/>
  <c r="E15" i="7"/>
  <c r="D15" i="7"/>
  <c r="B21" i="2"/>
  <c r="B17" i="15" s="1"/>
  <c r="B19" i="2"/>
  <c r="B20" i="2" s="1"/>
  <c r="B17" i="2"/>
  <c r="B18" i="2" s="1"/>
  <c r="C9" i="15" s="1"/>
  <c r="B15" i="2"/>
  <c r="B16" i="2" s="1"/>
  <c r="E14" i="5" l="1"/>
  <c r="B13" i="9"/>
  <c r="B9" i="15"/>
  <c r="E32" i="9"/>
  <c r="B16" i="15"/>
  <c r="E27" i="9"/>
  <c r="E31" i="9"/>
  <c r="E29" i="9"/>
  <c r="E30" i="9"/>
  <c r="E28" i="9"/>
  <c r="F19" i="9"/>
  <c r="F20" i="9"/>
  <c r="D16" i="4"/>
  <c r="D12" i="4"/>
  <c r="E36" i="9"/>
  <c r="D11" i="4"/>
  <c r="E33" i="9"/>
  <c r="E35" i="9"/>
  <c r="E34" i="9"/>
  <c r="F21" i="9"/>
  <c r="B22" i="2"/>
  <c r="B7" i="15"/>
  <c r="B25" i="2"/>
  <c r="A4" i="15" s="1"/>
  <c r="A4" i="9"/>
  <c r="B8" i="9"/>
  <c r="E13" i="5"/>
  <c r="B15" i="15"/>
  <c r="B24" i="2" l="1"/>
  <c r="B18" i="15"/>
  <c r="B23" i="2"/>
  <c r="B19" i="15" l="1"/>
  <c r="D8" i="4"/>
  <c r="B20" i="15"/>
  <c r="D9" i="4"/>
</calcChain>
</file>

<file path=xl/sharedStrings.xml><?xml version="1.0" encoding="utf-8"?>
<sst xmlns="http://schemas.openxmlformats.org/spreadsheetml/2006/main" count="3590" uniqueCount="2383">
  <si>
    <t>Longevity Master OS v2</t>
  </si>
  <si>
    <t>Created</t>
  </si>
  <si>
    <t>2026-05-15 11:11 PM CT</t>
  </si>
  <si>
    <t>Read this once. Bookmark 02_Brief_Today on your phone.</t>
  </si>
  <si>
    <t/>
  </si>
  <si>
    <t>NAVIGATION</t>
  </si>
  <si>
    <t>Level 1 — Brief (what to do NOW)</t>
  </si>
  <si>
    <t>→ 02_Brief_Today</t>
  </si>
  <si>
    <t>Level 2 — Guided (steps + how to know it is right)</t>
  </si>
  <si>
    <t>→ 03_Guided_Steps</t>
  </si>
  <si>
    <t>Level 3 — Deep (why, when, how, sources)</t>
  </si>
  <si>
    <t>→ 04_Deep_Protocol</t>
  </si>
  <si>
    <t>30-day onboarding rotation</t>
  </si>
  <si>
    <t>→ 05_30Day_Rotation</t>
  </si>
  <si>
    <t>Weekly training pattern</t>
  </si>
  <si>
    <t>→ 06_Weekly_Plan</t>
  </si>
  <si>
    <t>Exercise library (moves, sets, videos)</t>
  </si>
  <si>
    <t>→ 07_Exercise_Library</t>
  </si>
  <si>
    <t>Nutrition system</t>
  </si>
  <si>
    <t>→ 08_Nutrition</t>
  </si>
  <si>
    <t>Supplements (Category + Status + Stop rule)</t>
  </si>
  <si>
    <t>→ 09_Supplements</t>
  </si>
  <si>
    <t>Blood biomarker panel</t>
  </si>
  <si>
    <t>→ 10_Blood_Markers</t>
  </si>
  <si>
    <t>Screening, vaccines, emergency red flags</t>
  </si>
  <si>
    <t>→ 11_Screenings_Safety</t>
  </si>
  <si>
    <t>Sleep + heat/cold recovery</t>
  </si>
  <si>
    <t>→ 12_Sleep_Recovery</t>
  </si>
  <si>
    <t>Cognitive + social health</t>
  </si>
  <si>
    <t>→ 13_Cognitive_Social</t>
  </si>
  <si>
    <t>At-a-glance dashboard</t>
  </si>
  <si>
    <t>→ 14_Dashboard</t>
  </si>
  <si>
    <t>Source citations (CDC / USPSTF / AHA / research)</t>
  </si>
  <si>
    <t>→ 15_Sources</t>
  </si>
  <si>
    <t>FIRST-TIME SETUP</t>
  </si>
  <si>
    <t>Step 1</t>
  </si>
  <si>
    <t>Open 01_Personal_Settings. Fill the blue cells (name, DOB, sex, height, weight, RHR, VO2, grip). Everything else flows from these.</t>
  </si>
  <si>
    <t>Step 2</t>
  </si>
  <si>
    <t>Open 02_Brief_Today. You should see your name and live protein/hydration targets at the top.</t>
  </si>
  <si>
    <t>Step 3</t>
  </si>
  <si>
    <t>Open 11_Screenings_Safety. Enter last-done dates for screenings you have had. Next-due dates auto-calculate.</t>
  </si>
  <si>
    <t>Step 4</t>
  </si>
  <si>
    <t>Book your baseline labs (10_Blood_Markers shows what to ask for). Bring the markers list to your physician.</t>
  </si>
  <si>
    <t>Step 5</t>
  </si>
  <si>
    <t>Until labs are back, follow Category B supplements only (creatine, omega-3, psyllium). See 09_Supplements.</t>
  </si>
  <si>
    <t>COLOR CONVENTIONS (financial-model standard)</t>
  </si>
  <si>
    <t>Blue text</t>
  </si>
  <si>
    <t>Your input — change these</t>
  </si>
  <si>
    <t>Black text</t>
  </si>
  <si>
    <t>Formula — auto-calculated</t>
  </si>
  <si>
    <t>Green text</t>
  </si>
  <si>
    <t>Cross-sheet link — pulls from another tab</t>
  </si>
  <si>
    <t>Yellow fill</t>
  </si>
  <si>
    <t>Needs attention or due now</t>
  </si>
  <si>
    <t>Green fill</t>
  </si>
  <si>
    <t>In optimal/target range</t>
  </si>
  <si>
    <t>Red fill</t>
  </si>
  <si>
    <t>Out of range or red-flag item</t>
  </si>
  <si>
    <t>MEDICAL DISCLAIMER</t>
  </si>
  <si>
    <t>This is an educational planning workbook to help structure conversations with your physician. It is not medical diagnosis or treatment. All supplement, training, and lab decisions for a 60+ year old should be reviewed with a clinician — especially before starting anything new, changing prescription medications, or interpreting blood markers. The "longevity-optimal" target ranges shown are tighter than standard population norms (sourced from peer-reviewed longevity literature) and represent goals to discuss with your physician, not clinical decision thresholds.</t>
  </si>
  <si>
    <t>THREE-LEVEL DETAIL — HOW TO USE</t>
  </si>
  <si>
    <t>Daily</t>
  </si>
  <si>
    <t>Open 02_Brief_Today on your phone. Tap through the time-blocked actions.</t>
  </si>
  <si>
    <t>Weekly</t>
  </si>
  <si>
    <t>Sunday: glance at 06_Weekly_Plan to log compliance.</t>
  </si>
  <si>
    <t>When learning a new move</t>
  </si>
  <si>
    <t>Click into 07_Exercise_Library for cues, sets/reps, video search.</t>
  </si>
  <si>
    <t>When you want to understand why</t>
  </si>
  <si>
    <t>Open 04_Deep_Protocol. Each row has the mechanism, source, and owner (self/clinician/trainer).</t>
  </si>
  <si>
    <t>Quarterly</t>
  </si>
  <si>
    <t>Re-enter blood markers in 10_Blood_Markers. Auto-status updates supplement decisions in 09_Supplements.</t>
  </si>
  <si>
    <t>Personal Settings</t>
  </si>
  <si>
    <t>Single source of truth. Change a blue cell and the entire workbook updates.</t>
  </si>
  <si>
    <t>INPUTS (blue cells — change these)</t>
  </si>
  <si>
    <t>Name</t>
  </si>
  <si>
    <t>Used in greetings</t>
  </si>
  <si>
    <t>Date of birth</t>
  </si>
  <si>
    <t>YYYY-MM-DD format</t>
  </si>
  <si>
    <t>Sex at birth</t>
  </si>
  <si>
    <t>M</t>
  </si>
  <si>
    <t>M or F (affects screening defaults)</t>
  </si>
  <si>
    <t>Height (cm)</t>
  </si>
  <si>
    <t>For BMI</t>
  </si>
  <si>
    <t>Weight (kg)</t>
  </si>
  <si>
    <t>Drives protein, hydration targets</t>
  </si>
  <si>
    <t>Resting heart rate</t>
  </si>
  <si>
    <t>Beats/min, measured first thing in morning</t>
  </si>
  <si>
    <t>Current VO2 max (mL/kg/min)</t>
  </si>
  <si>
    <t>From Garmin/Apple Watch or treadmill test</t>
  </si>
  <si>
    <t>Grip strength (kg)</t>
  </si>
  <si>
    <t>Strongest hand, hand dynamometer</t>
  </si>
  <si>
    <t>DERIVED (black/green — auto-calculated)</t>
  </si>
  <si>
    <t>Today</t>
  </si>
  <si>
    <t>m/d/yyyy</t>
  </si>
  <si>
    <t>Age (years)</t>
  </si>
  <si>
    <t>Auto from DOB</t>
  </si>
  <si>
    <t>BMI</t>
  </si>
  <si>
    <t>Height(m)² / weight</t>
  </si>
  <si>
    <t>BMI category</t>
  </si>
  <si>
    <t>Protein target (g/day)</t>
  </si>
  <si>
    <t>1.6 g/kg — active aging (Bauer PROT-AGE upper)</t>
  </si>
  <si>
    <t>Per-meal protein (g)</t>
  </si>
  <si>
    <t>Hit leucine threshold (2.5g) each meal</t>
  </si>
  <si>
    <t>Hydration target (L/day)</t>
  </si>
  <si>
    <t>30 mL/kg/day</t>
  </si>
  <si>
    <t>Max heart rate (bpm)</t>
  </si>
  <si>
    <t>Tanaka 2001 formula</t>
  </si>
  <si>
    <t>Zone 2 HR target (bpm)</t>
  </si>
  <si>
    <t>70% maxHR — conversational pace</t>
  </si>
  <si>
    <t>VO2 interval HR (bpm)</t>
  </si>
  <si>
    <t>90% maxHR — Norwegian 4×4 protocol</t>
  </si>
  <si>
    <t>Today (display)</t>
  </si>
  <si>
    <t>Brief — Today</t>
  </si>
  <si>
    <t>Fast operating checklist. Priority now: upper-back strength + core bracing first, then legs/push/cardio. Week 1 is intentionally easy; Week 2 adds a small progression.</t>
  </si>
  <si>
    <t>Time</t>
  </si>
  <si>
    <t>Do now</t>
  </si>
  <si>
    <t>Duration</t>
  </si>
  <si>
    <t>Week 1 dosage</t>
  </si>
  <si>
    <t>Week 2 progression</t>
  </si>
  <si>
    <t>Why</t>
  </si>
  <si>
    <t>Done?</t>
  </si>
  <si>
    <t>Notes</t>
  </si>
  <si>
    <t>Source key</t>
  </si>
  <si>
    <t>Link</t>
  </si>
  <si>
    <t>05:30</t>
  </si>
  <si>
    <t>Wake, water, bathroom. Optional: BP/weight if tracking.</t>
  </si>
  <si>
    <t>10 min</t>
  </si>
  <si>
    <t>Easy; no rushing</t>
  </si>
  <si>
    <t>Same</t>
  </si>
  <si>
    <t>Consistent wake time anchors circadian rhythm and makes training repeatable.</t>
  </si>
  <si>
    <t>☐</t>
  </si>
  <si>
    <t>CDC-SLEEP</t>
  </si>
  <si>
    <t>05:40</t>
  </si>
  <si>
    <t>Warm-up before any training: nasal breathing walk + joint circles + cat-cow + band pull-aparts.</t>
  </si>
  <si>
    <t>8–10 min</t>
  </si>
  <si>
    <t>RPE 2–3</t>
  </si>
  <si>
    <t>RPE 3–4</t>
  </si>
  <si>
    <t>Raises tissue temperature, rehearses posture, lowers injury risk before loading.</t>
  </si>
  <si>
    <t>CDC-ACT</t>
  </si>
  <si>
    <t>05:50</t>
  </si>
  <si>
    <t>Priority strength block: upper back + core first.</t>
  </si>
  <si>
    <t>15–25 min</t>
  </si>
  <si>
    <t>2 rounds, easy, RPE 5–6</t>
  </si>
  <si>
    <t>3 rounds or +1 set, RPE 6–7</t>
  </si>
  <si>
    <t>Upper back supports shoulder mechanics and posture; core bracing protects the spine before lower-body loading.</t>
  </si>
  <si>
    <t>NIA-STRENGTH</t>
  </si>
  <si>
    <t>06:15</t>
  </si>
  <si>
    <t>Secondary body block: legs/push/carry or Zone 2 depending on daily plan.</t>
  </si>
  <si>
    <t>10–25 min</t>
  </si>
  <si>
    <t>Technique only</t>
  </si>
  <si>
    <t>Add small volume/load</t>
  </si>
  <si>
    <t>Build whole-body capacity without letting early fatigue ruin posture/core quality.</t>
  </si>
  <si>
    <t>06:40</t>
  </si>
  <si>
    <t>Cool-down: slow walk, long exhale breathing, thoracic/hip stretch.</t>
  </si>
  <si>
    <t>5–10 min</t>
  </si>
  <si>
    <t>RPE 1–2</t>
  </si>
  <si>
    <t>Downshifts the nervous system and reduces stiffness after training.</t>
  </si>
  <si>
    <t>07:00</t>
  </si>
  <si>
    <t>Protein-forward breakfast + fiber + colorful plants.</t>
  </si>
  <si>
    <t>20 min</t>
  </si>
  <si>
    <t>Hit per-meal protein target</t>
  </si>
  <si>
    <t>Supports muscle protein synthesis and satiety in older adults.</t>
  </si>
  <si>
    <t>PROT-AGE</t>
  </si>
  <si>
    <t>12:30</t>
  </si>
  <si>
    <t>Lunch: protein + vegetables + legumes/whole grain + olive oil.</t>
  </si>
  <si>
    <t>25 min</t>
  </si>
  <si>
    <t>Half plate plants</t>
  </si>
  <si>
    <t>Mediterranean pattern supports cardiometabolic health.</t>
  </si>
  <si>
    <t>DGA-2025</t>
  </si>
  <si>
    <t>14:00</t>
  </si>
  <si>
    <t>10–15 min walk after lunch.</t>
  </si>
  <si>
    <t>10–15 min</t>
  </si>
  <si>
    <t>Easy</t>
  </si>
  <si>
    <t>Same or +5 min</t>
  </si>
  <si>
    <t>Post-meal movement improves glucose handling and adds low-stress volume.</t>
  </si>
  <si>
    <t>17:00</t>
  </si>
  <si>
    <t>Optional recovery: easy walk, mobility, or sauna if medically appropriate.</t>
  </si>
  <si>
    <t>15–30 min</t>
  </si>
  <si>
    <t>Easy only</t>
  </si>
  <si>
    <t>Recovery tools should support—not compete with—training adaptation.</t>
  </si>
  <si>
    <t>19:00</t>
  </si>
  <si>
    <t>Dinner: protein + vegetables; keep it light and earlier.</t>
  </si>
  <si>
    <t>30 min</t>
  </si>
  <si>
    <t>No heavy late meal</t>
  </si>
  <si>
    <t>Helps sleep quality and glucose control.</t>
  </si>
  <si>
    <t>20:30</t>
  </si>
  <si>
    <t>Sleep wind-down: dim light, screens down, breathing/journal/read.</t>
  </si>
  <si>
    <t>30–60 min</t>
  </si>
  <si>
    <t>Consistent</t>
  </si>
  <si>
    <t>Sleep consolidates recovery, learning, glucose regulation, and pain sensitivity.</t>
  </si>
  <si>
    <t>22:00</t>
  </si>
  <si>
    <t>Lights out. Protect 7–9 hr sleep opportunity.</t>
  </si>
  <si>
    <t>7–9 hr</t>
  </si>
  <si>
    <t>Target consistency</t>
  </si>
  <si>
    <t>Sleep is the recovery multiplier.</t>
  </si>
  <si>
    <t>THIS WEEK — NON-NEGOTIABLE MINIMUMS</t>
  </si>
  <si>
    <t>Pillar</t>
  </si>
  <si>
    <t>Minimum</t>
  </si>
  <si>
    <t>Week 1</t>
  </si>
  <si>
    <t>Week 2</t>
  </si>
  <si>
    <t>Track</t>
  </si>
  <si>
    <t>Upper back</t>
  </si>
  <si>
    <t>3 sessions/week</t>
  </si>
  <si>
    <t>Band row + face pull + wall slide</t>
  </si>
  <si>
    <t>+1 set or stronger band</t>
  </si>
  <si>
    <t>Sessions</t>
  </si>
  <si>
    <t>Start every strength day here.</t>
  </si>
  <si>
    <t>Core/bracing</t>
  </si>
  <si>
    <t>Dead bug + bird dog + side plank</t>
  </si>
  <si>
    <t>+5–10 sec holds or +1 set</t>
  </si>
  <si>
    <t>Avoid sit-ups if back pain.</t>
  </si>
  <si>
    <t>Lower body</t>
  </si>
  <si>
    <t>2 sessions/week</t>
  </si>
  <si>
    <t>Sit-to-stand + glute bridge</t>
  </si>
  <si>
    <t>Add goblet squat or step-up</t>
  </si>
  <si>
    <t>Only after warm-up and core activation.</t>
  </si>
  <si>
    <t>Aerobic</t>
  </si>
  <si>
    <t>150 min/week moderate</t>
  </si>
  <si>
    <t>Walk/cycle easy Zone 2</t>
  </si>
  <si>
    <t>+10–15 min total/week</t>
  </si>
  <si>
    <t>Minutes</t>
  </si>
  <si>
    <t>Can be broken into short bouts.</t>
  </si>
  <si>
    <t>Balance</t>
  </si>
  <si>
    <t>Daily 3–5 min</t>
  </si>
  <si>
    <t>Tandem stance, supported single-leg</t>
  </si>
  <si>
    <t>+10–20 sec total</t>
  </si>
  <si>
    <t>Days</t>
  </si>
  <si>
    <t>Safety support nearby.</t>
  </si>
  <si>
    <t>USPSTF-FALLS</t>
  </si>
  <si>
    <t>Warm-up + cool-down</t>
  </si>
  <si>
    <t>Every session</t>
  </si>
  <si>
    <t>8–10 min warm-up; 5–10 min cool-down</t>
  </si>
  <si>
    <t>Yes/No</t>
  </si>
  <si>
    <t>Do not skip.</t>
  </si>
  <si>
    <t>🚨 RED FLAGS — stop training and seek urgent care/clinician guidance</t>
  </si>
  <si>
    <t>Chest pain, fainting, sudden severe shortness of breath, stroke symptoms, severe new joint pain, sudden weakness/numbness, or pain that changes gait. For new exercise at 60+, review major medical risks with your clinician.</t>
  </si>
  <si>
    <t>Guided Routine — Steps + How to Know It Is Right</t>
  </si>
  <si>
    <t>Enough detail to finish the job without reading the full science. Each row links to 04_Deep_Protocol for the why.</t>
  </si>
  <si>
    <t>Block</t>
  </si>
  <si>
    <t>When</t>
  </si>
  <si>
    <t>Steps to complete</t>
  </si>
  <si>
    <t>Dose / target</t>
  </si>
  <si>
    <t>How to know it is right</t>
  </si>
  <si>
    <t>Why it matters</t>
  </si>
  <si>
    <t>Deep detail →</t>
  </si>
  <si>
    <t>Safety / modification</t>
  </si>
  <si>
    <t>Owner</t>
  </si>
  <si>
    <t>Morning activation</t>
  </si>
  <si>
    <t>After waking</t>
  </si>
  <si>
    <t>Water · bathroom · 5–15 min outdoor light · 5 slow nasal breaths · BP/weight if tracking</t>
  </si>
  <si>
    <t>Awake but calm; HR settles within 10 min</t>
  </si>
  <si>
    <t>Anchors circadian rhythm and morning health-data habit</t>
  </si>
  <si>
    <t>Sleep + morning light</t>
  </si>
  <si>
    <t>Sit first if dizzy; clinician if recurrent</t>
  </si>
  <si>
    <t>Self</t>
  </si>
  <si>
    <t>Mobility primer</t>
  </si>
  <si>
    <t>Before training</t>
  </si>
  <si>
    <t>Ankle rocks · hip hinge practice · thoracic rotations · shoulder circles · tandem walk</t>
  </si>
  <si>
    <t>8–12 min daily</t>
  </si>
  <si>
    <t>Warm joints; pain ≤3/10</t>
  </si>
  <si>
    <t>Prepares joints, reduces injury risk</t>
  </si>
  <si>
    <t>Moves</t>
  </si>
  <si>
    <t>Reduce range if painful</t>
  </si>
  <si>
    <t>Self / Trainer</t>
  </si>
  <si>
    <t>Strength day</t>
  </si>
  <si>
    <t>Mon/Wed/Fri</t>
  </si>
  <si>
    <t>Warm up · squat/hinge/push/pull/carry/core · 2–3 sets each, progressive load</t>
  </si>
  <si>
    <t>30–45 min · 2–3×/wk</t>
  </si>
  <si>
    <t>Challenging controlled reps; soreness 1–2 days then resolves</t>
  </si>
  <si>
    <t>Preserves muscle, bone, glucose control, independence</t>
  </si>
  <si>
    <t>Strength library</t>
  </si>
  <si>
    <t>CDC-ACT · ATTIA-4P</t>
  </si>
  <si>
    <t>Avoid breath-holding (Valsalva); coach if new</t>
  </si>
  <si>
    <t>Trainer</t>
  </si>
  <si>
    <t>Zone 2 day</t>
  </si>
  <si>
    <t>Tue/Thu/Sat</t>
  </si>
  <si>
    <t>Brisk walk / bike / swim / elliptical at conversational pace</t>
  </si>
  <si>
    <t>Can speak full sentences, not sing</t>
  </si>
  <si>
    <t>Builds aerobic base + mitochondrial density</t>
  </si>
  <si>
    <t>Zone 2</t>
  </si>
  <si>
    <t>Use bike/swim for joint pain; stop if chest pain</t>
  </si>
  <si>
    <t>VO2 max intervals</t>
  </si>
  <si>
    <t>1× per week</t>
  </si>
  <si>
    <t>After 10-min warmup: 4×4 min near-max effort with 3 min easy recovery</t>
  </si>
  <si>
    <t>Hard but completable; ~RPE 8–9</t>
  </si>
  <si>
    <t>Strongest mortality predictor in cardio domain</t>
  </si>
  <si>
    <t>Zone 2 + VO2</t>
  </si>
  <si>
    <t>WISLOFF-2007 · MANDSAGER-2018</t>
  </si>
  <si>
    <t>Cardio clearance if heart risk; stop if chest pain</t>
  </si>
  <si>
    <t>Trainer / Clinician</t>
  </si>
  <si>
    <t>Balance focus</t>
  </si>
  <si>
    <t>Daily micro + 2 focused days</t>
  </si>
  <si>
    <t>Tandem stance/walk · sit-to-stand · single-leg support near counter · heel raises</t>
  </si>
  <si>
    <t>5–10 min daily</t>
  </si>
  <si>
    <t>Challenged but safe; gradually less hand support</t>
  </si>
  <si>
    <t>Reduces fall risk by ~25%</t>
  </si>
  <si>
    <t>Use support; avoid eyes-closed work unsupervised</t>
  </si>
  <si>
    <t>PT / Self</t>
  </si>
  <si>
    <t>Breakfast</t>
  </si>
  <si>
    <t>After training</t>
  </si>
  <si>
    <t>Protein + fiber-carb + colorful plant + healthy fat</t>
  </si>
  <si>
    <t>Energy stable until lunch</t>
  </si>
  <si>
    <t>Protein distribution supports muscle protein synthesis</t>
  </si>
  <si>
    <t>Breakfast builder</t>
  </si>
  <si>
    <t>PROT-AGE · DGA-2025</t>
  </si>
  <si>
    <t>Personalize for diabetes/kidney disease</t>
  </si>
  <si>
    <t>Self / Dietitian</t>
  </si>
  <si>
    <t>Lunch + walk</t>
  </si>
  <si>
    <t>Midday</t>
  </si>
  <si>
    <t>Protein bowl: vegetables, legumes/whole grain, olive oil/nuts · 10-min walk after</t>
  </si>
  <si>
    <t>No afternoon crash</t>
  </si>
  <si>
    <t>Mediterranean pattern + post-prandial movement = best cardiometabolic</t>
  </si>
  <si>
    <t>Lunch builder</t>
  </si>
  <si>
    <t>Smaller meal if reflux</t>
  </si>
  <si>
    <t>Supplements / meds</t>
  </si>
  <si>
    <t>With meals as prescribed</t>
  </si>
  <si>
    <t>Only items with reason · dose · start date · interaction check · stop rule</t>
  </si>
  <si>
    <t>Monthly review</t>
  </si>
  <si>
    <t>Every item has stated purpose; no orphan bottles</t>
  </si>
  <si>
    <t>Avoids unsafe stacking, drug interactions, hidden harm</t>
  </si>
  <si>
    <t>Supplements</t>
  </si>
  <si>
    <t>NIH-ODS</t>
  </si>
  <si>
    <t>No iron/hormones/aspirin/off-label unless prescribed</t>
  </si>
  <si>
    <t>Clinician / Pharmacist</t>
  </si>
  <si>
    <t>Brain + social</t>
  </si>
  <si>
    <t>Afternoon</t>
  </si>
  <si>
    <t>Learning block + social touchpoint: reading, language, music, mentoring, call</t>
  </si>
  <si>
    <t>Calendar item completed</t>
  </si>
  <si>
    <t>Builds cognitive reserve, mood, longevity (Lancet 2024)</t>
  </si>
  <si>
    <t>Brain/social</t>
  </si>
  <si>
    <t>NIA-COG · LANCET-2024</t>
  </si>
  <si>
    <t>Treat depression / isolation early</t>
  </si>
  <si>
    <t>Self / Family</t>
  </si>
  <si>
    <t>Sauna (heat)</t>
  </si>
  <si>
    <t>4×/wk recommended</t>
  </si>
  <si>
    <t>Dry sauna 80°C (175°F), 20+ min, hydrate before</t>
  </si>
  <si>
    <t>20–30 min</t>
  </si>
  <si>
    <t>Adapted; HR ~120, not dizzy</t>
  </si>
  <si>
    <t>50% lower CV death, 40% lower all-cause death (Laukkanen 2015)</t>
  </si>
  <si>
    <t>Heat protocol</t>
  </si>
  <si>
    <t>LAUKKANEN-2015</t>
  </si>
  <si>
    <t>Stop if dizzy; not for unstable angina, severe AS</t>
  </si>
  <si>
    <t>Self / Clinician</t>
  </si>
  <si>
    <t>Dinner</t>
  </si>
  <si>
    <t>Early evening</t>
  </si>
  <si>
    <t>Protein + vegetables · stop heavy meal 2–3 hr before bed</t>
  </si>
  <si>
    <t>Sleep not disturbed</t>
  </si>
  <si>
    <t>Supports recovery, glucose, reflux, sleep</t>
  </si>
  <si>
    <t>Dinner builder</t>
  </si>
  <si>
    <t>DGA-2025 · CDC-SLEEP</t>
  </si>
  <si>
    <t>Avoid alcohol as sleep aid</t>
  </si>
  <si>
    <t>Sleep shutdown</t>
  </si>
  <si>
    <t>60 min before bed</t>
  </si>
  <si>
    <t>Dim lights · screens off / blue blockers · gratitude · breathing · cool/dark/quiet room</t>
  </si>
  <si>
    <t>≥7 hr sleep opportunity</t>
  </si>
  <si>
    <t>Wake rested without alarm &gt; alarm</t>
  </si>
  <si>
    <t>Sleep is foundational for heart, brain, immune, hormonal health</t>
  </si>
  <si>
    <t>Sleep protocol</t>
  </si>
  <si>
    <t>CDC-SLEEP · WALKER-2017</t>
  </si>
  <si>
    <t>Evaluate apnea symptoms (snoring + daytime sleepiness)</t>
  </si>
  <si>
    <t>Weekly review</t>
  </si>
  <si>
    <t>Sunday</t>
  </si>
  <si>
    <t>Review compliance, pain, sleep, BP/weight, next appointments, groceries, training load</t>
  </si>
  <si>
    <t>Next week scheduled, deload decision made</t>
  </si>
  <si>
    <t>Creates closed-loop behavior system</t>
  </si>
  <si>
    <t>Dashboard</t>
  </si>
  <si>
    <t>AHA-LE8</t>
  </si>
  <si>
    <t>Deload if pain or fatigue persist</t>
  </si>
  <si>
    <t>Deep Protocol — Why, When, How, Sources</t>
  </si>
  <si>
    <t>Science-backed operating manual. Each row: mechanism, evidence, measurement, owner. Click Source key → 15_Sources for citation.</t>
  </si>
  <si>
    <t>Protocol</t>
  </si>
  <si>
    <t>Exact method</t>
  </si>
  <si>
    <t>Progression / target</t>
  </si>
  <si>
    <t>Mechanism (why it works)</t>
  </si>
  <si>
    <t>Measurement</t>
  </si>
  <si>
    <t>Red flags / clinician notes</t>
  </si>
  <si>
    <t>Sleep + circadian</t>
  </si>
  <si>
    <t>Foundation</t>
  </si>
  <si>
    <t>Consistent wake (±30 min). Outdoor light &lt;30 min after waking. Dim lights 60 min before bed. Bedroom 18°C (65°F), dark, quiet. Warm shower 1–2 hr pre-bed (Liao 2025 footbath meta-analysis).</t>
  </si>
  <si>
    <t>Build to ≥7 hr nightly average; sleep efficiency &gt;85%</t>
  </si>
  <si>
    <t>Light at eye anchors SCN master clock; cool environment + warm-extremity vasodilation → core temp drop → sleep onset. Sleep regularity outranks duration for cardio outcomes.</t>
  </si>
  <si>
    <t>Hours slept, sleep regularity, daytime energy, snoring (apnea screen)</t>
  </si>
  <si>
    <t>Snoring + daytime sleepiness → sleep apnea evaluation (STOP-BANG, polysomnography). Insomnia &gt;3 mo → CBT-I (first-line per AASM).</t>
  </si>
  <si>
    <t>CDC-SLEEP · WALKER-2017 · LIAO-2025</t>
  </si>
  <si>
    <t>Aerobic base — Zone 2</t>
  </si>
  <si>
    <t>Cardiorespiratory</t>
  </si>
  <si>
    <t>Walk / bike / swim / row at conversational pace. HR ~70% maxHR (formula: 208 − 0.7×age × 0.7). RPE 4–5. Nasal breathing if possible.</t>
  </si>
  <si>
    <t>Build to 150–300 min/wk moderate (CDC) or 3–4 × 45–60 min</t>
  </si>
  <si>
    <t>Increases mitochondrial density, fat oxidation, capillary density. Plateau in adaptations after ~3 months without volume increase.</t>
  </si>
  <si>
    <t>Minutes/week, RPE, HR drift over time (improving fitness lowers HR at same pace)</t>
  </si>
  <si>
    <t>Chest pain, fainting, neuro signs → urgent care. New AFib symptoms (palpitations) → cardiology.</t>
  </si>
  <si>
    <t>CDC-ACT · ATTIA-4P · SAN-MILLAN-2018</t>
  </si>
  <si>
    <t>VO2 max — Norwegian 4×4</t>
  </si>
  <si>
    <t>1×/week</t>
  </si>
  <si>
    <t>10 min warmup → 4 × (4 min @ 85–95% maxHR, 3 min easy recovery) → 5 min cool down. Total ~30 min. Hard. Use bike for joint safety.</t>
  </si>
  <si>
    <t>Track VO2 estimate quarterly; goal: ≥90th percentile for age</t>
  </si>
  <si>
    <t>VO2 max is the strongest single mortality predictor in healthy adults (Mandsager 2018, JAMA Netw Open). Norwegian protocol proven to raise VO2 max ~10% in 8 weeks (Wisloff 2007).</t>
  </si>
  <si>
    <t>VO2 estimate (Garmin/Apple), 1-mile or 6-min walk test</t>
  </si>
  <si>
    <t>Requires cardio clearance if HTN, CAD, AFib, or sedentary. Stop immediately for chest pain.</t>
  </si>
  <si>
    <t>WISLOFF-2007 · MANDSAGER-2018 · ATTIA-4P</t>
  </si>
  <si>
    <t>Strength — 6 patterns</t>
  </si>
  <si>
    <t>Musculoskeletal</t>
  </si>
  <si>
    <t>Squat (sit-to-stand → goblet squat) · hinge (kettlebell deadlift, RDL) · push (incline → bench → overhead) · pull (band row, lat pulldown) · carry (farmer carry) · core (dead bug, plank). 2–3 sets × 6–12 reps, progressive load.</t>
  </si>
  <si>
    <t>Progress load 2.5–5% when all sets at top rep range with clean form</t>
  </si>
  <si>
    <t>Sarcopenia begins ~age 30, accelerates ~age 60 (~1–2% muscle/yr lost without training). Strength training reverses this; preserves bone, glucose handling, balance, independence.</t>
  </si>
  <si>
    <t>Loads × reps log, sit-to-stand test (chair stand count in 30 sec)</t>
  </si>
  <si>
    <t>Avoid Valsalva (breath-holding) with high BP. Get coaching if new. Stop if sharp joint pain.</t>
  </si>
  <si>
    <t>CDC-ACT · ATTIA-4P · FIATARONE-1994</t>
  </si>
  <si>
    <t>Grip strength</t>
  </si>
  <si>
    <t>2×/wk add-on</t>
  </si>
  <si>
    <t>Farmer carry (heaviest weights you can hold × 30–60 sec walks), dead hangs (build to 30+ sec), towel pull-ups, hand dynamometer monthly.</t>
  </si>
  <si>
    <t>Grip ≥40 kg (men), ≥27 kg (women) — inversely correlates with mortality</t>
  </si>
  <si>
    <t>PURE study (Leong 2015, Lancet) — each 5 kg drop in grip = 16% higher mortality. Proxies whole-body strength and CNS integrity.</t>
  </si>
  <si>
    <t>Hand dynamometer (best of 3 trials, both hands)</t>
  </si>
  <si>
    <t>Joint pain → rotate to neutral-grip carries.</t>
  </si>
  <si>
    <t>LEONG-2015 · ATTIA-4P</t>
  </si>
  <si>
    <t>Trainer / Self</t>
  </si>
  <si>
    <t>Balance / fall prevention</t>
  </si>
  <si>
    <t>Daily micro + 2 focused</t>
  </si>
  <si>
    <t>Tandem stance/walk · single-leg support near counter · sit-to-stand · step-ups · heel raises · eyes-closed near support. Progress: less hand support.</t>
  </si>
  <si>
    <t>Hold single-leg ≥30 sec each side; 30-sec chair stand ≥15 reps</t>
  </si>
  <si>
    <t>Falls = leading cause of injury death in adults 65+ (CDC). Training cuts falls ~25% (Cochrane 2019).</t>
  </si>
  <si>
    <t>Single-leg balance time, fall events</t>
  </si>
  <si>
    <t>After any fall: PT eval, vision check, medication review (especially benzos, antihypertensives).</t>
  </si>
  <si>
    <t>CDC-ACT · COCHRANE-2019</t>
  </si>
  <si>
    <t>Mobility / pain prevention</t>
  </si>
  <si>
    <t>Ankle dorsiflexion (knee-to-wall) · hip flexor stretch · thoracic rotations · shoulder CARs (controlled articular rotations). Gentle loaded mobility, not just stretching.</t>
  </si>
  <si>
    <t>Maintain functional ranges; intervene with PT if pain &gt;2 weeks</t>
  </si>
  <si>
    <t>Tissue tolerance is trainable. Loss of joint range = #1 modifiable risk for training injury.</t>
  </si>
  <si>
    <t>Pain 0–10 scale, stiffness diary, functional ranges (e.g., overhead reach)</t>
  </si>
  <si>
    <t>Sharp / night / neuropathic pain → clinical evaluation.</t>
  </si>
  <si>
    <t>PT / Trainer</t>
  </si>
  <si>
    <t>Nutrition pattern</t>
  </si>
  <si>
    <t>Nutrition</t>
  </si>
  <si>
    <t>Every meal</t>
  </si>
  <si>
    <t>Mediterranean-style plate: protein (palm-size) + 2 fistfuls vegetables + 1 cupped legume/whole grain + thumb healthy fat. Olive oil base. Limit added sugar, ultra-processed, sodium &gt;2300 mg/day.</t>
  </si>
  <si>
    <t>Whole-food meals ≥80% of intake. Adjust calories to weight goal.</t>
  </si>
  <si>
    <t>Mediterranean diet reduces cardiac events ~30% (PREDIMED 2018 NEJM re-analysis), improves cognition (Reynolds 2019 Lancet review).</t>
  </si>
  <si>
    <t>Body comp (weight, waist), labs (lipids, A1c, ApoB)</t>
  </si>
  <si>
    <t>Personalize for diabetes, CKD, GI disease, food allergies. Dietitian for complex cases.</t>
  </si>
  <si>
    <t>DGA-2025 · PREDIMED-2018 · REYNOLDS-2019</t>
  </si>
  <si>
    <t>Protein for sarcopenia</t>
  </si>
  <si>
    <t>3–4 meals/day</t>
  </si>
  <si>
    <t>1.6 g/kg/day for active 60+ (Bauer PROT-AGE upper range). Distribute evenly. Each meal must hit ~2.5 g leucine threshold (= 25–40 g high-quality protein).</t>
  </si>
  <si>
    <t>Anabolic resistance increases with age — older adults need more protein per meal to trigger muscle protein synthesis (MPS) than young adults. Leucine is the trigger amino acid.</t>
  </si>
  <si>
    <t>Daily protein log, body composition trend</t>
  </si>
  <si>
    <t>Kidney disease (eGFR &lt;60) requires nephrologist plan — usually 0.6–0.8 g/kg.</t>
  </si>
  <si>
    <t>PROT-AGE · MORTON-2018 · MITCHELL-2017</t>
  </si>
  <si>
    <t>Hydration</t>
  </si>
  <si>
    <t>30 mL/kg/day baseline (your weight × 30). More with sauna or training. Front-load morning, slow PM.</t>
  </si>
  <si>
    <t>Dehydration worsens BP swings, constipation, kidney stones, cognition.</t>
  </si>
  <si>
    <t>Urine color (pale straw = adequate)</t>
  </si>
  <si>
    <t>Heart failure or kidney disease → clinician-set fluid limit overrides this.</t>
  </si>
  <si>
    <t>NAM-2005</t>
  </si>
  <si>
    <t>Supplements decision</t>
  </si>
  <si>
    <t>Quarterly review</t>
  </si>
  <si>
    <t>Category A (replacement — take only if labs show deficient): D3, B12, iron, CoQ10 (statin), multivitamin. Category B (therapeutic — take regardless): creatine 5g, omega-3 2g, psyllium 5–10g. Category C (optional/cycle): magnesium glycinate, ashwagandha (cycle).</t>
  </si>
  <si>
    <t>Adjust at each blood panel (90-day cycles)</t>
  </si>
  <si>
    <t>Supplements work via two different mechanisms. Replacement supplements only help if you are deficient. Therapeutic supplements create a pharmacological effect regardless of blood level.</t>
  </si>
  <si>
    <t>Blood markers (see 10_Blood_Markers)</t>
  </si>
  <si>
    <t>Iron only if ferritin low. Aspirin not routine prevention &gt;60 (USPSTF 2022). No hormones / rapamycin / metformin off-label without specialist.</t>
  </si>
  <si>
    <t>NIH-ODS · USPSTF-ASPIRIN</t>
  </si>
  <si>
    <t>Self / Clinician / Pharmacist</t>
  </si>
  <si>
    <t>Heat — sauna</t>
  </si>
  <si>
    <t>Recovery</t>
  </si>
  <si>
    <t>4–7×/wk</t>
  </si>
  <si>
    <t>Dry sauna 80°C (175°F) × 20+ min, post-training. Hydrate before. Cool down passively.</t>
  </si>
  <si>
    <t>Build to 4×/wk minimum; 7×/wk shows dose-response</t>
  </si>
  <si>
    <t>Laukkanen 2015 (JAMA Intern Med) — Finnish cohort n=2315, 20 yr: 4–7×/wk vs 1×/wk = 50% lower CV death, 40% lower all-cause death. Heat shock proteins, endothelial function, cardiovascular conditioning similar to moderate exercise.</t>
  </si>
  <si>
    <t>Sessions/week, HR during, perceived adaptation</t>
  </si>
  <si>
    <t>Not for unstable angina, severe aortic stenosis. Avoid alcohol before. Pregnancy: contraindicated.</t>
  </si>
  <si>
    <t>Cold exposure</t>
  </si>
  <si>
    <t>11 min/wk total</t>
  </si>
  <si>
    <t>Cold water ≤15°C (60°F): 2–3 sessions × 2–4 min OR 1 long session. Soberg 2021 protocol.</t>
  </si>
  <si>
    <t>11 min/wk total cold time</t>
  </si>
  <si>
    <t>Brown fat activation, norepinephrine 200–500%, mood elevation. Soberg 2021 (Cell Reports Medicine) showed metabolic benefits at this dose.</t>
  </si>
  <si>
    <t>Subjective mood, frequency</t>
  </si>
  <si>
    <t>Not for severe cardiovascular disease, Raynaud's, cold urticaria. Never alone.</t>
  </si>
  <si>
    <t>SOBERG-2021</t>
  </si>
  <si>
    <t>Cardiovascular risk</t>
  </si>
  <si>
    <t>Prevention</t>
  </si>
  <si>
    <t>Monthly BP, annual labs</t>
  </si>
  <si>
    <t>Home BP (best of 3, AM/PM), lipid panel + ApoB + Lp(a) once, A1c, hs-CRP. Treat per ACC/AHA risk calculator + shared decision.</t>
  </si>
  <si>
    <t>Targets discussed with clinician; longevity-optimal ranges in 10_Blood_Markers</t>
  </si>
  <si>
    <t>Atherosclerosis is the #1 killer. ApoB is the single best lipid marker (Marston 2022 JAMA Cardiology). Early aggressive management = decades of preserved healthspan.</t>
  </si>
  <si>
    <t>BP, ApoB, LDL-C, A1c, weight, waist</t>
  </si>
  <si>
    <t>Statin discussion if ASCVD risk &gt;7.5%. Lp(a) elevated = different risk pathway.</t>
  </si>
  <si>
    <t>AHA-LE8 · MARSTON-2022 · USPSTF-LIPIDS</t>
  </si>
  <si>
    <t>Primary Care / Cardiology</t>
  </si>
  <si>
    <t>Cancer screening</t>
  </si>
  <si>
    <t>Age/risk-based</t>
  </si>
  <si>
    <t>Colonoscopy q10y age 45–75 (or stool DNA q3y). Skin check annually (or by derm). LDCT lung if 50–80 + smoking criteria. Mammogram q1–2y if F. PSA shared decision 55–69 if M. Skin / oral / pelvic by clinician.</t>
  </si>
  <si>
    <t>Document last/next dates in 11_Screenings_Safety</t>
  </si>
  <si>
    <t>USPSTF and ACS evidence-based recommendations. Catching cancer at stage 1 vs stage 3 = ~3–10× higher survival.</t>
  </si>
  <si>
    <t>Dates done, results</t>
  </si>
  <si>
    <t>Family history (Lynch, BRCA) requires earlier/different screening — genetics consult.</t>
  </si>
  <si>
    <t>USPSTF-CRC · USPSTF-LUNG · USPSTF-PSA · USPSTF-SKIN</t>
  </si>
  <si>
    <t>Primary Care</t>
  </si>
  <si>
    <t>Vaccines</t>
  </si>
  <si>
    <t>Annual + age-based</t>
  </si>
  <si>
    <t>Flu (annual), COVID (current schedule), shingles (Shingrix ×2 if ≥50), pneumococcal (PCV20 ≥65), Td/Tdap (q10y), RSV (≥75 or risk), travel as indicated.</t>
  </si>
  <si>
    <t>CDC adult schedule current year</t>
  </si>
  <si>
    <t>Vaccines prevent acute illness AND reduce dementia risk (shingles vaccine: 20% lower dementia in 7-yr study, Eyting 2024 Nature).</t>
  </si>
  <si>
    <t>Vaccine record, due dates</t>
  </si>
  <si>
    <t>Live vaccines contraindicated in immunocompromise.</t>
  </si>
  <si>
    <t>CDC-VAX · EYTING-2024</t>
  </si>
  <si>
    <t>Primary Care / Pharmacy</t>
  </si>
  <si>
    <t>Cognitive + social</t>
  </si>
  <si>
    <t>Brain/longevity</t>
  </si>
  <si>
    <t>Daily + weekly</t>
  </si>
  <si>
    <t>Daily: 30–60 min effortful learning (language, instrument, complex skill). Weekly: ≥2 in-person social contacts + 1 deep conversation. Hearing aids if any loss (Lancet 2024).</t>
  </si>
  <si>
    <t>12 of 14 Lancet 2024 dementia risk factors managed</t>
  </si>
  <si>
    <t>Lancet 2024 Dementia Commission: 14 modifiable risk factors = 45% attributable dementia risk. Hearing loss = #1 modifiable. Social isolation is independent risk factor as strong as smoking 15 cigarettes/day (Holt-Lunstad 2010).</t>
  </si>
  <si>
    <t>Cognitive activity log, social contact count, hearing test, vision check</t>
  </si>
  <si>
    <t>Memory decline or depression → primary care for workup.</t>
  </si>
  <si>
    <t>NIA-COG · LANCET-2024 · HOLT-LUNSTAD-2010</t>
  </si>
  <si>
    <t>Self / Family / Clinician</t>
  </si>
  <si>
    <t>Recovery &amp; deload</t>
  </si>
  <si>
    <t>Continuous</t>
  </si>
  <si>
    <t>Adjust training by pain, sleep, fatigue, resting pulse, mood. 1 low-load day/week (Sunday). Deload week every 4–8 weeks if needed.</t>
  </si>
  <si>
    <t>Train to improve over weeks, not deplete</t>
  </si>
  <si>
    <t>Adaptation requires recovery (supercompensation). Chronic overtraining = elevated cortisol, suppressed HRV, plateaus, injury.</t>
  </si>
  <si>
    <t>Resting HR trend, HRV (if measured), perceived fatigue</t>
  </si>
  <si>
    <t>Resting HR &gt; +5 bpm above baseline for ≥3 days → deload.</t>
  </si>
  <si>
    <t>30-Day Onboarding Rotation — Upper Back + Core First</t>
  </si>
  <si>
    <t>Every strength session begins with warm-up, upper-back activation, and core bracing before legs/push/cardio. Week 1 is deliberately easy; Week 2 progresses gently; Weeks 3–4 expand whole-body capacity.</t>
  </si>
  <si>
    <t>Day</t>
  </si>
  <si>
    <t>Week</t>
  </si>
  <si>
    <t>Type</t>
  </si>
  <si>
    <t>Warm-up</t>
  </si>
  <si>
    <t>Priority block: upper back + core</t>
  </si>
  <si>
    <t>Secondary block</t>
  </si>
  <si>
    <t>Cardio / steps</t>
  </si>
  <si>
    <t>Cool-down</t>
  </si>
  <si>
    <t>Nutrition focus</t>
  </si>
  <si>
    <t>Intensity cap</t>
  </si>
  <si>
    <t>Milestone / notes</t>
  </si>
  <si>
    <t>Foundation strength</t>
  </si>
  <si>
    <t>8 min easy walk + cat-cow + shoulder circles</t>
  </si>
  <si>
    <t>Band row 2×10; dead bug 2×6/side; wall slide 1×8</t>
  </si>
  <si>
    <t>Sit-to-stand 2×8; glute bridge 2×8</t>
  </si>
  <si>
    <t>10–15 min easy walk</t>
  </si>
  <si>
    <t>5 min slow breathing + thoracic rotation</t>
  </si>
  <si>
    <t>Protein breakfast + fiber</t>
  </si>
  <si>
    <t>RPE 5–6</t>
  </si>
  <si>
    <t>Learn form; finish feeling better than start</t>
  </si>
  <si>
    <t>Zone 2 + mobility</t>
  </si>
  <si>
    <t>8 min easy walk</t>
  </si>
  <si>
    <t>Band pull-apart 2×12; bird dog 2×6/side</t>
  </si>
  <si>
    <t>Hip hinge drill 2×8</t>
  </si>
  <si>
    <t>20–25 min brisk walk/cycle conversational</t>
  </si>
  <si>
    <t>Hamstring/hip flexor stretch 5 min</t>
  </si>
  <si>
    <t>Hydration + plants at lunch</t>
  </si>
  <si>
    <t>RPE 4–5</t>
  </si>
  <si>
    <t>Easy aerobic base</t>
  </si>
  <si>
    <t>8 min warm-up + band external rotation</t>
  </si>
  <si>
    <t>Face pull 2×12; side plank 2×15 sec/side</t>
  </si>
  <si>
    <t>Incline push-up 2×8; suitcase carry 2×30 sec</t>
  </si>
  <si>
    <t>10 min easy walk</t>
  </si>
  <si>
    <t>Child's pose breathing + pec stretch</t>
  </si>
  <si>
    <t>Protein per meal</t>
  </si>
  <si>
    <t>Core stiffness without strain</t>
  </si>
  <si>
    <t>Recovery mobility</t>
  </si>
  <si>
    <t>Joint circles + nasal walk</t>
  </si>
  <si>
    <t>Wall slide 2×8; dead bug 1×6/side</t>
  </si>
  <si>
    <t>Tandem stance 3×20 sec; calf raise 2×10</t>
  </si>
  <si>
    <t>20 min easy walk</t>
  </si>
  <si>
    <t>Long exhale breathing</t>
  </si>
  <si>
    <t>Omega-3 fish/plant fats</t>
  </si>
  <si>
    <t>Let connective tissue adapt</t>
  </si>
  <si>
    <t>8 min easy walk + t-spine opener</t>
  </si>
  <si>
    <t>Band row 2×12; bird dog 2×8/side; face pull 1×12</t>
  </si>
  <si>
    <t>Goblet box squat 2×8 light; farmer carry 2×30 sec</t>
  </si>
  <si>
    <t>Optional easy bike 10–15 min</t>
  </si>
  <si>
    <t>5–8 min mobility</t>
  </si>
  <si>
    <t>Fiber target</t>
  </si>
  <si>
    <t>End Week 1 with no soreness spike</t>
  </si>
  <si>
    <t>Long easy cardio</t>
  </si>
  <si>
    <t>10 min walk warm-up</t>
  </si>
  <si>
    <t>Band pull-apart 2×12; side plank 2×15 sec/side</t>
  </si>
  <si>
    <t>Mobility flow 10 min</t>
  </si>
  <si>
    <t>30–45 min easy walk/hike/cycle</t>
  </si>
  <si>
    <t>Calves/hips/t-spine 8 min</t>
  </si>
  <si>
    <t>Mediterranean meal prep</t>
  </si>
  <si>
    <t>Keep it social and easy</t>
  </si>
  <si>
    <t>Full recovery</t>
  </si>
  <si>
    <t>5 min gentle walk</t>
  </si>
  <si>
    <t>Posture reset: wall slide 1×8; dead bug 1×6/side</t>
  </si>
  <si>
    <t>Balance 3 min supported</t>
  </si>
  <si>
    <t>Optional leisure walk</t>
  </si>
  <si>
    <t>Warm shower + breathing</t>
  </si>
  <si>
    <t>Plan groceries</t>
  </si>
  <si>
    <t>Review what felt easy/hard</t>
  </si>
  <si>
    <t>Progress strength</t>
  </si>
  <si>
    <t>10 min warm-up</t>
  </si>
  <si>
    <t>Band row 3×10; dead bug 3×6/side; wall slide 2×8</t>
  </si>
  <si>
    <t>Sit-to-stand 3×8; glute bridge 3×8</t>
  </si>
  <si>
    <t>15 min easy walk</t>
  </si>
  <si>
    <t>5–8 min cool-down</t>
  </si>
  <si>
    <t>Protein + leucine at breakfast</t>
  </si>
  <si>
    <t>RPE 6–7</t>
  </si>
  <si>
    <t>+1 set vs Week 1</t>
  </si>
  <si>
    <t>Zone 2 + balance</t>
  </si>
  <si>
    <t>8–10 min warm-up</t>
  </si>
  <si>
    <t>Face pull 2×12; bird dog 3×6/side</t>
  </si>
  <si>
    <t>Step-up 2×8/side; calf raise 2×12</t>
  </si>
  <si>
    <t>25–35 min Zone 2</t>
  </si>
  <si>
    <t>Hip flexor/t-spine 8 min</t>
  </si>
  <si>
    <t>Color count 5+</t>
  </si>
  <si>
    <t>Increase cardio slightly</t>
  </si>
  <si>
    <t>Upper/core emphasis</t>
  </si>
  <si>
    <t>Single-arm row 3×10/side; side plank 3×20 sec; band pull-apart 2×15</t>
  </si>
  <si>
    <t>Incline push-up 3×8; suitcase carry 3×30 sec</t>
  </si>
  <si>
    <t>Pec/lat stretch + breathing</t>
  </si>
  <si>
    <t>Fiber 30g target if tolerated</t>
  </si>
  <si>
    <t>Posture + anti-rotation</t>
  </si>
  <si>
    <t>8 min nasal walk</t>
  </si>
  <si>
    <t>Wall slide 2×10; dead bug 2×8/side</t>
  </si>
  <si>
    <t>Tandem walk 3×10 steps; hip hinge drill 2×10</t>
  </si>
  <si>
    <t>25 min easy walk</t>
  </si>
  <si>
    <t>Hydration target</t>
  </si>
  <si>
    <t>Active recovery</t>
  </si>
  <si>
    <t>Whole-body intro</t>
  </si>
  <si>
    <t>Band row 3×12; face pull 2×12; bird dog 2×8/side</t>
  </si>
  <si>
    <t>Goblet squat 3×8; RDL light 2×8; farmer carry 3×30 sec</t>
  </si>
  <si>
    <t>Optional easy bike 15 min</t>
  </si>
  <si>
    <t>Protein at each meal</t>
  </si>
  <si>
    <t>Small load increase only if pain-free</t>
  </si>
  <si>
    <t>Long Zone 2</t>
  </si>
  <si>
    <t>Band pull-apart 2×15; side plank 2×20 sec</t>
  </si>
  <si>
    <t>40–55 min easy walk/hike/cycle</t>
  </si>
  <si>
    <t>Meal prep + electrolytes if sweating</t>
  </si>
  <si>
    <t>+10 min from Week 1 if recovered</t>
  </si>
  <si>
    <t>Recovery + review</t>
  </si>
  <si>
    <t>5–8 min gentle walk</t>
  </si>
  <si>
    <t>Posture reset: wall slide 2×8; dead bug 2×6/side</t>
  </si>
  <si>
    <t>Balance 5 min supported</t>
  </si>
  <si>
    <t>Warm bath + breathing</t>
  </si>
  <si>
    <t>Prep next week</t>
  </si>
  <si>
    <t>Review pain/sleep/readiness</t>
  </si>
  <si>
    <t>Strength upper/core + lower</t>
  </si>
  <si>
    <t>Row/face pull 3×10–15; dead bug or plank 3 sets; carry 3×40 sec</t>
  </si>
  <si>
    <t>Squat/hinge/push pattern 2–4 sets, pain-free range</t>
  </si>
  <si>
    <t>30–60 min aerobic depending on day</t>
  </si>
  <si>
    <t>5–10 min cool-down</t>
  </si>
  <si>
    <t>Keep protein/fiber/hydration consistent</t>
  </si>
  <si>
    <t>RPE 6–8</t>
  </si>
  <si>
    <t>Expand only if sleep/pain/readiness are good</t>
  </si>
  <si>
    <t>Band pull-apart 2×15; bird dog 2×8/side</t>
  </si>
  <si>
    <t>Mobility 8–10 min</t>
  </si>
  <si>
    <t>Strength upper/core + push</t>
  </si>
  <si>
    <t>Mobility/balance</t>
  </si>
  <si>
    <t>Wall slide 2×10; side plank 2×20–30 sec</t>
  </si>
  <si>
    <t>Balance + hip/ankle mobility 15 min</t>
  </si>
  <si>
    <t>Strength whole body</t>
  </si>
  <si>
    <t>Posture reset 1–2 rounds</t>
  </si>
  <si>
    <t>Easy mobility or full rest</t>
  </si>
  <si>
    <t>Recovery review</t>
  </si>
  <si>
    <t>Weekly Plan — Progression Built Around Upper Back + Core</t>
  </si>
  <si>
    <t>Use this after onboarding or anytime you restart. The first strength priority is upper back + core bracing; legs, push, cardio, and power expand after form is clean and pain-free.</t>
  </si>
  <si>
    <t>Focus</t>
  </si>
  <si>
    <t>Priority first: upper back + core</t>
  </si>
  <si>
    <t>Then train</t>
  </si>
  <si>
    <t>Week 1 easy version</t>
  </si>
  <si>
    <t>Do not progress if</t>
  </si>
  <si>
    <t>Target</t>
  </si>
  <si>
    <t>Monday</t>
  </si>
  <si>
    <t>Strength A — posture/core + lower</t>
  </si>
  <si>
    <t>8–10 min walk + cat-cow + shoulder circles</t>
  </si>
  <si>
    <t>Band row + dead bug + wall slide</t>
  </si>
  <si>
    <t>Sit-to-stand/goblet squat + glute bridge + farmer carry</t>
  </si>
  <si>
    <t>5–10 min walk + t-spine/hip flexor stretch</t>
  </si>
  <si>
    <t>2 sets each, RPE 5–6</t>
  </si>
  <si>
    <t>3 sets or +5–10% load, RPE 6–7</t>
  </si>
  <si>
    <t>Pain &gt;3/10, poor sleep, form breaks</t>
  </si>
  <si>
    <t>35–45 min</t>
  </si>
  <si>
    <t>Upper back/core always first</t>
  </si>
  <si>
    <t>Tuesday</t>
  </si>
  <si>
    <t>5–8 min easy walk</t>
  </si>
  <si>
    <t>Band pull-apart + bird dog</t>
  </si>
  <si>
    <t>Zone 2 walk/bike + ankle/hip mobility</t>
  </si>
  <si>
    <t>Breathing 3–5 min</t>
  </si>
  <si>
    <t>20–30 min Z2</t>
  </si>
  <si>
    <t>30–40 min Z2</t>
  </si>
  <si>
    <t>Cannot nasal/talk comfortably</t>
  </si>
  <si>
    <t>Conversational pace</t>
  </si>
  <si>
    <t>Build aerobic base</t>
  </si>
  <si>
    <t>Wednesday</t>
  </si>
  <si>
    <t>Strength B — upper/core + push</t>
  </si>
  <si>
    <t>8–10 min warm-up + band external rotation</t>
  </si>
  <si>
    <t>Face pull + side plank + thoracic rotation</t>
  </si>
  <si>
    <t>Incline push-up + assisted pull/lat pulldown + suitcase carry</t>
  </si>
  <si>
    <t>3 sets or harder incline/band, RPE 6–7</t>
  </si>
  <si>
    <t>Shoulder/back pain, shrugging, breath-holding</t>
  </si>
  <si>
    <t>Keep shoulders down/back</t>
  </si>
  <si>
    <t>Thursday</t>
  </si>
  <si>
    <t>Recovery + balance</t>
  </si>
  <si>
    <t>Gentle walk + joint circles</t>
  </si>
  <si>
    <t>Wall slide + dead bug light</t>
  </si>
  <si>
    <t>Tandem stance/walk + supported single-leg + mobility</t>
  </si>
  <si>
    <t>20–30 min easy</t>
  </si>
  <si>
    <t>30–40 min easy or add balance time</t>
  </si>
  <si>
    <t>Dizziness or unsteady gait</t>
  </si>
  <si>
    <t>Low intensity</t>
  </si>
  <si>
    <t>Safety support nearby</t>
  </si>
  <si>
    <t>Friday</t>
  </si>
  <si>
    <t>Strength C — whole body</t>
  </si>
  <si>
    <t>8–10 min walk + hinge drill</t>
  </si>
  <si>
    <t>Row + bird dog + anti-rotation carry</t>
  </si>
  <si>
    <t>Goblet squat + RDL + incline push-up + calf raise</t>
  </si>
  <si>
    <t>Hips/t-spine/calf stretch</t>
  </si>
  <si>
    <t>3 sets; add small load if pain-free</t>
  </si>
  <si>
    <t>Back rounding or grip fatigue alters posture</t>
  </si>
  <si>
    <t>40–50 min</t>
  </si>
  <si>
    <t>Practice bracing before hinge</t>
  </si>
  <si>
    <t>Saturday</t>
  </si>
  <si>
    <t>Long Zone 2 / outdoor</t>
  </si>
  <si>
    <t>10 min easy ramp-up</t>
  </si>
  <si>
    <t>Band pull-apart + side plank short</t>
  </si>
  <si>
    <t>Long walk/hike/bike/swim</t>
  </si>
  <si>
    <t>30–45 min</t>
  </si>
  <si>
    <t>45–60 min</t>
  </si>
  <si>
    <t>Lingering soreness or unusual fatigue</t>
  </si>
  <si>
    <t>Easy-moderate</t>
  </si>
  <si>
    <t>Social/outdoor is ideal</t>
  </si>
  <si>
    <t>Mobility/yoga + weekly review</t>
  </si>
  <si>
    <t>Warm bath / breathing</t>
  </si>
  <si>
    <t>Same; do not chase fatigue</t>
  </si>
  <si>
    <t>Any red flag pain</t>
  </si>
  <si>
    <t>Plan next week</t>
  </si>
  <si>
    <t>WEEKLY VOLUME TRACKER</t>
  </si>
  <si>
    <t>Domain</t>
  </si>
  <si>
    <t>This week</t>
  </si>
  <si>
    <t>% of target</t>
  </si>
  <si>
    <t>Status</t>
  </si>
  <si>
    <t>Progression rule</t>
  </si>
  <si>
    <t>Upper-back sessions</t>
  </si>
  <si>
    <t>If 3/3 sessions pain-free, add 1 set or stronger band next week</t>
  </si>
  <si>
    <t>Core/bracing sessions</t>
  </si>
  <si>
    <t>If bracing remains clean, add 5–10 sec or 1 set</t>
  </si>
  <si>
    <t>Strength sessions</t>
  </si>
  <si>
    <t>Progress only one variable: sets OR load OR reps</t>
  </si>
  <si>
    <t>Zone 2 minutes</t>
  </si>
  <si>
    <t>Add 10–15 min/week until target is easy</t>
  </si>
  <si>
    <t>Balance days</t>
  </si>
  <si>
    <t>Add time before reducing hand support</t>
  </si>
  <si>
    <t>Warm-up/cool-down compliance</t>
  </si>
  <si>
    <t>No warm-up = no progression</t>
  </si>
  <si>
    <t>Exercise Library — Upper Back + Core First Progression</t>
  </si>
  <si>
    <t>Use this as the clickable reference layer. Start every strength day with priority 1 items. Video links are YouTube search links, not medical prescriptions.</t>
  </si>
  <si>
    <t>Priority</t>
  </si>
  <si>
    <t>Category</t>
  </si>
  <si>
    <t>Exercise</t>
  </si>
  <si>
    <t>How to do it</t>
  </si>
  <si>
    <t>Key cue</t>
  </si>
  <si>
    <t>Safety</t>
  </si>
  <si>
    <t>Video link</t>
  </si>
  <si>
    <t>1</t>
  </si>
  <si>
    <t>Nasal breathing walk</t>
  </si>
  <si>
    <t>Walk at easy pace through the nose; gradually increase arm swing.</t>
  </si>
  <si>
    <t>5 min</t>
  </si>
  <si>
    <t>6–8 min</t>
  </si>
  <si>
    <t>Raises temperature and shifts from rest to training without strain.</t>
  </si>
  <si>
    <t>You can talk in full sentences.</t>
  </si>
  <si>
    <t>Stop if chest pain/dizziness.</t>
  </si>
  <si>
    <t>https://www.youtube.com/results?search_query=nasal+breathing+warm+up+walk+exercise+older+adults</t>
  </si>
  <si>
    <t>Do before every session</t>
  </si>
  <si>
    <t>Cat-cow + thoracic rotation</t>
  </si>
  <si>
    <t>On hands/knees, alternate spinal flex/extend; then thread needle rotation.</t>
  </si>
  <si>
    <t>1–2 min</t>
  </si>
  <si>
    <t>2–3 min</t>
  </si>
  <si>
    <t>Prepares spine and rib cage for bracing and shoulder motion.</t>
  </si>
  <si>
    <t>Move slowly with breath.</t>
  </si>
  <si>
    <t>Avoid painful end range.</t>
  </si>
  <si>
    <t>https://www.youtube.com/results?search_query=cat+cow+thoracic+rotation+warm+up</t>
  </si>
  <si>
    <t>Band row</t>
  </si>
  <si>
    <t>Anchor band at chest height, pull elbows back, squeeze shoulder blades, control return.</t>
  </si>
  <si>
    <t>2×10 easy</t>
  </si>
  <si>
    <t>3×10–12 or stronger band</t>
  </si>
  <si>
    <t>Builds scapular retraction for posture and shoulder health.</t>
  </si>
  <si>
    <t>Elbows close; neck long.</t>
  </si>
  <si>
    <t>Secure anchor; no low-back lean.</t>
  </si>
  <si>
    <t>https://www.youtube.com/results?search_query=resistance+band+row+proper+form</t>
  </si>
  <si>
    <t>Starting-point exercise</t>
  </si>
  <si>
    <t>Band face pull</t>
  </si>
  <si>
    <t>Anchor band high, pull toward nose/forehead with elbows high, rotate thumbs back.</t>
  </si>
  <si>
    <t>2×12 easy</t>
  </si>
  <si>
    <t>3×12–15</t>
  </si>
  <si>
    <t>Targets rear delts/external rotators to balance rounded posture.</t>
  </si>
  <si>
    <t>Pull to face, not chest.</t>
  </si>
  <si>
    <t>Use light band; no shoulder pinch.</t>
  </si>
  <si>
    <t>https://www.youtube.com/results?search_query=band+face+pull+proper+form</t>
  </si>
  <si>
    <t>Wall slide</t>
  </si>
  <si>
    <t>Back/forearms against wall if possible, slide arms overhead without rib flare.</t>
  </si>
  <si>
    <t>1–2×8</t>
  </si>
  <si>
    <t>2–3×8–10</t>
  </si>
  <si>
    <t>Improves shoulder flexion and thoracic posture before overhead work.</t>
  </si>
  <si>
    <t>Ribs down; chin tucked.</t>
  </si>
  <si>
    <t>Do floor version if shoulder discomfort.</t>
  </si>
  <si>
    <t>https://www.youtube.com/results?search_query=wall+slide+exercise+proper+form</t>
  </si>
  <si>
    <t>Core</t>
  </si>
  <si>
    <t>Dead bug</t>
  </si>
  <si>
    <t>Lie on back, brace gently, extend opposite arm/leg while low back stays heavy.</t>
  </si>
  <si>
    <t>2×6/side</t>
  </si>
  <si>
    <t>3×6–8/side or slower tempo</t>
  </si>
  <si>
    <t>Trains anti-extension core control that protects spine during lifting.</t>
  </si>
  <si>
    <t>Exhale as limb extends.</t>
  </si>
  <si>
    <t>Stop if back arches or hurts.</t>
  </si>
  <si>
    <t>https://www.youtube.com/results?search_query=dead+bug+exercise+proper+form</t>
  </si>
  <si>
    <t>Starting-point core</t>
  </si>
  <si>
    <t>Bird dog</t>
  </si>
  <si>
    <t>Hands/knees, extend opposite arm/leg; pause without hip rotation.</t>
  </si>
  <si>
    <t>3×6–8/side with 2-sec hold</t>
  </si>
  <si>
    <t>Builds spinal stability and glute/core coordination.</t>
  </si>
  <si>
    <t>Hips stay square.</t>
  </si>
  <si>
    <t>Use short range if back pain.</t>
  </si>
  <si>
    <t>https://www.youtube.com/results?search_query=bird+dog+exercise+proper+form</t>
  </si>
  <si>
    <t>Side plank from knees</t>
  </si>
  <si>
    <t>Side-lying, knees bent, lift hips, keep straight line shoulder-hip-knee.</t>
  </si>
  <si>
    <t>2×15 sec/side</t>
  </si>
  <si>
    <t>3×20–25 sec/side</t>
  </si>
  <si>
    <t>Trains lateral core and hip stability for gait and back protection.</t>
  </si>
  <si>
    <t>Push floor away.</t>
  </si>
  <si>
    <t>Stop if shoulder pain.</t>
  </si>
  <si>
    <t>https://www.youtube.com/results?search_query=side+plank+from+knees+proper+form</t>
  </si>
  <si>
    <t>2</t>
  </si>
  <si>
    <t>Sit-to-stand</t>
  </si>
  <si>
    <t>Stand from chair, sit back down slowly without dropping.</t>
  </si>
  <si>
    <t>2×8</t>
  </si>
  <si>
    <t>3×8–10 or lower chair</t>
  </si>
  <si>
    <t>Foundational lower-body strength; transfers to daily life and fall resilience.</t>
  </si>
  <si>
    <t>Knees track toes.</t>
  </si>
  <si>
    <t>Use hands/support if needed.</t>
  </si>
  <si>
    <t>https://www.youtube.com/results?search_query=sit+to+stand+exercise+older+adults+proper+form</t>
  </si>
  <si>
    <t>Glute bridge</t>
  </si>
  <si>
    <t>Lie on back, knees bent, squeeze glutes and lift hips without arching back.</t>
  </si>
  <si>
    <t>3×8–12 or 2-sec hold</t>
  </si>
  <si>
    <t>Builds hips/posterior chain with low spine load.</t>
  </si>
  <si>
    <t>Ribs down; squeeze glutes.</t>
  </si>
  <si>
    <t>Avoid lumbar arching.</t>
  </si>
  <si>
    <t>https://www.youtube.com/results?search_query=glute+bridge+proper+form+older+adults</t>
  </si>
  <si>
    <t>Goblet box squat</t>
  </si>
  <si>
    <t>Hold light DB at chest, squat to box/chair, stand tall.</t>
  </si>
  <si>
    <t>2×8 light</t>
  </si>
  <si>
    <t>3×8 or +5% load if pain-free</t>
  </si>
  <si>
    <t>Adds loaded squat pattern after bracing is learned.</t>
  </si>
  <si>
    <t>Brace before descent.</t>
  </si>
  <si>
    <t>No knee collapse; pain-free depth.</t>
  </si>
  <si>
    <t>https://www.youtube.com/results?search_query=goblet+squat+to+box+proper+form</t>
  </si>
  <si>
    <t>Hinge</t>
  </si>
  <si>
    <t>Dumbbell Romanian deadlift</t>
  </si>
  <si>
    <t>Soft knees, hips back, weights close to thighs, stand by driving hips forward.</t>
  </si>
  <si>
    <t>2×8 light after Week 1</t>
  </si>
  <si>
    <t>3×8 light/moderate</t>
  </si>
  <si>
    <t>Posterior chain strength supports gait, back resilience, and power.</t>
  </si>
  <si>
    <t>Hips back, spine long.</t>
  </si>
  <si>
    <t>Stop for back pain/form loss.</t>
  </si>
  <si>
    <t>https://www.youtube.com/results?search_query=dumbbell+Romanian+deadlift+proper+form</t>
  </si>
  <si>
    <t>Push</t>
  </si>
  <si>
    <t>Incline push-up</t>
  </si>
  <si>
    <t>Hands on wall/counter/bench, straight line body, lower chest under control.</t>
  </si>
  <si>
    <t>3×8–12 or lower incline</t>
  </si>
  <si>
    <t>Trains push strength with scalable joint stress.</t>
  </si>
  <si>
    <t>Elbows ~45°; shoulders down.</t>
  </si>
  <si>
    <t>Avoid shoulder pinch.</t>
  </si>
  <si>
    <t>https://www.youtube.com/results?search_query=incline+push+up+proper+form+older+adults</t>
  </si>
  <si>
    <t>Carry/grip</t>
  </si>
  <si>
    <t>Farmer carry</t>
  </si>
  <si>
    <t>Hold DBs at sides, walk slowly tall with ribs stacked over hips.</t>
  </si>
  <si>
    <t>2×30 sec</t>
  </si>
  <si>
    <t>3×30–40 sec or heavier</t>
  </si>
  <si>
    <t>Builds grip, trunk stiffness, posture, and gait confidence.</t>
  </si>
  <si>
    <t>Walk tall; quiet steps.</t>
  </si>
  <si>
    <t>Clear path; set down safely.</t>
  </si>
  <si>
    <t>https://www.youtube.com/results?search_query=farmer+carry+proper+form</t>
  </si>
  <si>
    <t>Tandem stance / walk</t>
  </si>
  <si>
    <t>Stand heel-to-toe near support; progress to slow heel-to-toe steps.</t>
  </si>
  <si>
    <t>3×20 sec</t>
  </si>
  <si>
    <t>3×30 sec or less hand support</t>
  </si>
  <si>
    <t>Balance training reduces fall risk when practiced consistently.</t>
  </si>
  <si>
    <t>Light fingertip support is OK.</t>
  </si>
  <si>
    <t>Do near counter/wall.</t>
  </si>
  <si>
    <t>https://www.youtube.com/results?search_query=tandem+stance+balance+exercise+older+adults</t>
  </si>
  <si>
    <t>3</t>
  </si>
  <si>
    <t>Slow walk + long exhale breathing</t>
  </si>
  <si>
    <t>Walk slowly, then breathe in 3–4 sec and out 5–8 sec.</t>
  </si>
  <si>
    <t>3–5 min</t>
  </si>
  <si>
    <t>5–8 min</t>
  </si>
  <si>
    <t>Downshifts arousal and helps recovery after training.</t>
  </si>
  <si>
    <t>Longer exhale than inhale.</t>
  </si>
  <si>
    <t>Sit if lightheaded.</t>
  </si>
  <si>
    <t>https://www.youtube.com/results?search_query=cool+down+breathing+after+exercise</t>
  </si>
  <si>
    <t>Hip flexor + pec doorway stretch</t>
  </si>
  <si>
    <t>Half-kneel hip flexor stretch; doorway pec stretch, gentle only.</t>
  </si>
  <si>
    <t>30 sec/side each</t>
  </si>
  <si>
    <t>45–60 sec/side</t>
  </si>
  <si>
    <t>Offsets sitting posture and training tension.</t>
  </si>
  <si>
    <t>Mild stretch, not pain.</t>
  </si>
  <si>
    <t>Avoid aggressive stretching after hard sessions.</t>
  </si>
  <si>
    <t>https://www.youtube.com/results?search_query=hip+flexor+pec+doorway+stretch+proper+form</t>
  </si>
  <si>
    <t>Nutrition Plan — Food-First Mediterranean for Healthy Aging After 60</t>
  </si>
  <si>
    <t>Whole-food first. Targets pull live from 01_Personal_Settings. Supplements only when food cannot deliver.</t>
  </si>
  <si>
    <t>CORE TARGETS</t>
  </si>
  <si>
    <t>How</t>
  </si>
  <si>
    <t>Examples</t>
  </si>
  <si>
    <t>Frequency</t>
  </si>
  <si>
    <t>Protein (active aging)</t>
  </si>
  <si>
    <t>Split across 4 meals · 2.5 g leucine/meal</t>
  </si>
  <si>
    <t>Greek yogurt · eggs · salmon · chicken · tofu · lentils · whey/casein</t>
  </si>
  <si>
    <t>Reverses sarcopenia; supports training adaptation</t>
  </si>
  <si>
    <t>g per meal</t>
  </si>
  <si>
    <t>PROT-AGE · MORTON-2018</t>
  </si>
  <si>
    <t>Kidney disease (eGFR &lt;60): nephrologist plan, usually 0.6–0.8 g/kg</t>
  </si>
  <si>
    <t>Vegetables + fruit</t>
  </si>
  <si>
    <t>5+ colors/day, ≥400 g</t>
  </si>
  <si>
    <t>Half plate at lunch + dinner</t>
  </si>
  <si>
    <t>Greens · berries · cruciferous · tomatoes · peppers · sweet potato</t>
  </si>
  <si>
    <t>Polyphenols, fiber, micronutrients drive cardiometabolic health</t>
  </si>
  <si>
    <t>Colors/day</t>
  </si>
  <si>
    <t>Frozen is fine; canned watch sodium</t>
  </si>
  <si>
    <t>Whole grains + legumes</t>
  </si>
  <si>
    <t>3–6 servings/day</t>
  </si>
  <si>
    <t>Replace refined grains</t>
  </si>
  <si>
    <t>Oats · lentils · chickpeas · black beans · quinoa · barley · whole-wheat bread</t>
  </si>
  <si>
    <t>Fiber, B vitamins, slow-release glucose; PURE study link to lower mortality</t>
  </si>
  <si>
    <t>Servings</t>
  </si>
  <si>
    <t>DGA-2025 · PURE-2017</t>
  </si>
  <si>
    <t>Soak/sprout if GI sensitive</t>
  </si>
  <si>
    <t>Healthy fats</t>
  </si>
  <si>
    <t>2–4 servings/day</t>
  </si>
  <si>
    <t>Olive oil base; nuts/seeds; fatty fish 2×/wk</t>
  </si>
  <si>
    <t>EVOO · walnuts · almonds · chia · flax · salmon · sardines</t>
  </si>
  <si>
    <t>Mediterranean pattern → 30% lower cardiac events (PREDIMED)</t>
  </si>
  <si>
    <t>Tbsp olive oil</t>
  </si>
  <si>
    <t>PREDIMED-2018</t>
  </si>
  <si>
    <t>Use EVOO for cooking (smoke point 410°F)</t>
  </si>
  <si>
    <t>Fiber</t>
  </si>
  <si>
    <t>30–40 g/day</t>
  </si>
  <si>
    <t>Soluble + insoluble; ramp up slowly</t>
  </si>
  <si>
    <t>Legumes · oats · berries · chia · psyllium if gap</t>
  </si>
  <si>
    <t>Lipids, glucose, satiety, gut microbiome</t>
  </si>
  <si>
    <t>g/day</t>
  </si>
  <si>
    <t>Start low, increase weekly to avoid GI distress</t>
  </si>
  <si>
    <t>30 mL/kg/day; more with sauna/exercise</t>
  </si>
  <si>
    <t>Water · unsweetened tea · mineral water · electrolytes if needed</t>
  </si>
  <si>
    <t>Cognitive function, BP regulation, kidney health</t>
  </si>
  <si>
    <t>Urine color</t>
  </si>
  <si>
    <t>Heart/kidney patients: clinician-set limit overrides</t>
  </si>
  <si>
    <t>Alcohol</t>
  </si>
  <si>
    <t>None or minimal</t>
  </si>
  <si>
    <t>Never as sleep aid; small amounts only if used</t>
  </si>
  <si>
    <t>Alcohol-free dinner default</t>
  </si>
  <si>
    <t>Disrupts sleep, increases BP, falls, liver risk, cancer</t>
  </si>
  <si>
    <t>Ongoing</t>
  </si>
  <si>
    <t>Drinks/wk</t>
  </si>
  <si>
    <t>Discuss with clinician if hard to reduce</t>
  </si>
  <si>
    <t>MEAL BUILDERS</t>
  </si>
  <si>
    <t>Meal</t>
  </si>
  <si>
    <t>Formula</t>
  </si>
  <si>
    <t>Sample 1</t>
  </si>
  <si>
    <t>Sample 2</t>
  </si>
  <si>
    <t>Sample 3</t>
  </si>
  <si>
    <t>Protein hit?</t>
  </si>
  <si>
    <t>Walk after?</t>
  </si>
  <si>
    <t>1 protein + 1 fiber-carb + 1 colorful plant + 1 fat</t>
  </si>
  <si>
    <t>Greek yogurt + berries + walnuts + chia</t>
  </si>
  <si>
    <t>3-egg omelet + spinach + whole-grain toast + avocado</t>
  </si>
  <si>
    <t>Tofu scramble + black beans + salsa + olive oil</t>
  </si>
  <si>
    <t>No</t>
  </si>
  <si>
    <t>Adjust portions to weight goal</t>
  </si>
  <si>
    <t>Lunch</t>
  </si>
  <si>
    <t>Protein bowl: protein + 2 vegetables + 1 legume/grain + olive oil</t>
  </si>
  <si>
    <t>Salmon + greens + chickpeas + EVOO</t>
  </si>
  <si>
    <t>Chicken + quinoa + roasted veg + tahini</t>
  </si>
  <si>
    <t>Dal + brown rice + cucumber-tomato salad</t>
  </si>
  <si>
    <t>10-min walk</t>
  </si>
  <si>
    <t>Largest plant-forward meal</t>
  </si>
  <si>
    <t>Lighter protein + vegetables; finish 2–3 hr before bed</t>
  </si>
  <si>
    <t>Baked fish + roasted vegetables + lemon</t>
  </si>
  <si>
    <t>Lentil soup + side salad + olive oil</t>
  </si>
  <si>
    <t>Tofu/paneer + greens + brown rice</t>
  </si>
  <si>
    <t>Optional 10 min</t>
  </si>
  <si>
    <t>Heavy/late = worse sleep</t>
  </si>
  <si>
    <t>Snacks (if needed)</t>
  </si>
  <si>
    <t>Protein + fiber pair</t>
  </si>
  <si>
    <t>Greek yogurt + berries</t>
  </si>
  <si>
    <t>Apple + almond butter</t>
  </si>
  <si>
    <t>Hummus + carrots</t>
  </si>
  <si>
    <t>~15 g protein</t>
  </si>
  <si>
    <t>Only if protein gap or training day</t>
  </si>
  <si>
    <t>HIGH-PROTEIN FOODS REFERENCE</t>
  </si>
  <si>
    <t>Food</t>
  </si>
  <si>
    <t>Serving</t>
  </si>
  <si>
    <t>Protein (g)</t>
  </si>
  <si>
    <t>Leucine (g)</t>
  </si>
  <si>
    <t>Hits per-meal target?</t>
  </si>
  <si>
    <t>Salmon (cooked)</t>
  </si>
  <si>
    <t>4 oz / 113 g</t>
  </si>
  <si>
    <t>Plus omega-3</t>
  </si>
  <si>
    <t>Chicken breast</t>
  </si>
  <si>
    <t>Lean, versatile</t>
  </si>
  <si>
    <t>Greek yogurt (plain, non-fat)</t>
  </si>
  <si>
    <t>1 cup / 245 g</t>
  </si>
  <si>
    <t>Pre-bed option</t>
  </si>
  <si>
    <t>Eggs</t>
  </si>
  <si>
    <t>3 large</t>
  </si>
  <si>
    <t>Pair with another protein</t>
  </si>
  <si>
    <t>Cottage cheese (low-fat)</t>
  </si>
  <si>
    <t>1 cup</t>
  </si>
  <si>
    <t>Highest leucine/calorie</t>
  </si>
  <si>
    <t>Lentils (cooked)</t>
  </si>
  <si>
    <t>Add quinoa or whey for full profile</t>
  </si>
  <si>
    <t>Tofu (firm)</t>
  </si>
  <si>
    <t>Complete protein</t>
  </si>
  <si>
    <t>Whey protein</t>
  </si>
  <si>
    <t>1 scoop / 30 g</t>
  </si>
  <si>
    <t>Fastest leucine spike</t>
  </si>
  <si>
    <t>Canned tuna</t>
  </si>
  <si>
    <t>1 can / 5 oz</t>
  </si>
  <si>
    <t>Cheap, shelf-stable</t>
  </si>
  <si>
    <t>Almonds</t>
  </si>
  <si>
    <t>1 oz / 28 g</t>
  </si>
  <si>
    <t>Snack, not meal protein</t>
  </si>
  <si>
    <t>🚨 NUTRITION RED FLAGS — see clinician</t>
  </si>
  <si>
    <t>Unintentional weight loss · swallowing difficulty · anemia symptoms (fatigue, pallor) · GI bleeding · severe constipation · recurring hypoglycemia · unexplained appetite change. Do not self-treat with supplements — may signal underlying disease.</t>
  </si>
  <si>
    <t>TRAINING-DAY NUTRITION ADDITIONS — SUPPORT UPPER BACK/CORE START</t>
  </si>
  <si>
    <t>Situation</t>
  </si>
  <si>
    <t>Do this</t>
  </si>
  <si>
    <t>Timing</t>
  </si>
  <si>
    <t>Week 2+</t>
  </si>
  <si>
    <t>Caution</t>
  </si>
  <si>
    <t>Morning strength day</t>
  </si>
  <si>
    <t>Protein + fluid before/after training; avoid training dehydrated</t>
  </si>
  <si>
    <t>Before or breakfast after</t>
  </si>
  <si>
    <t>Supports muscle protein synthesis and reduces fatigue</t>
  </si>
  <si>
    <t>Keep simple: yogurt/eggs/whey/tofu + fruit</t>
  </si>
  <si>
    <t>Add carbs if sessions exceed 45 min</t>
  </si>
  <si>
    <t>Kidney disease/diabetes: clinician plan</t>
  </si>
  <si>
    <t>Upper-back/core progression</t>
  </si>
  <si>
    <t>Aim for protein at each meal, not just dinner</t>
  </si>
  <si>
    <t>3–4 feedings/day</t>
  </si>
  <si>
    <t>Older adults may need a stronger per-meal protein stimulus</t>
  </si>
  <si>
    <t>20–35g/meal depending body size</t>
  </si>
  <si>
    <t>Keep consistent</t>
  </si>
  <si>
    <t>Use body-weight target from settings</t>
  </si>
  <si>
    <t>Zone 2 days</t>
  </si>
  <si>
    <t>Carbs from whole grains/fruit/legumes around activity if energy is low</t>
  </si>
  <si>
    <t>Meal before/after</t>
  </si>
  <si>
    <t>Improves adherence and reduces compensation hunger</t>
  </si>
  <si>
    <t>Normal meals are enough</t>
  </si>
  <si>
    <t>Add portion if duration rises</t>
  </si>
  <si>
    <t>Glucose issues: monitor response</t>
  </si>
  <si>
    <t>Recovery days</t>
  </si>
  <si>
    <t>Fiber, plants, hydration, omega-3-rich foods</t>
  </si>
  <si>
    <t>All day</t>
  </si>
  <si>
    <t>Supports cardiometabolic health and inflammation balance</t>
  </si>
  <si>
    <t>No diet restriction extremes</t>
  </si>
  <si>
    <t>Avoid supplement megadoses</t>
  </si>
  <si>
    <t>Supplements — Decision Framework with Stop Rules</t>
  </si>
  <si>
    <t>Every supplement has: reason · dose · trigger marker · skip-if · stop rule · interaction check. No orphan bottles.</t>
  </si>
  <si>
    <t>CATEGORY: A = replacement (skip if normal) · B = therapeutic dose (take regardless of labs) · C = optional/cycle</t>
  </si>
  <si>
    <t>STATUS: Active = take it · Discuss = needs clinician sign-off · Caution = take only if needed · Avoid = do not start without specialist · Deprioritize = evidence too thin</t>
  </si>
  <si>
    <t>EVIDENCE: GREEN = strong RCT/meta · YELLOW = moderate · RED = speculative</t>
  </si>
  <si>
    <t>Supplement</t>
  </si>
  <si>
    <t>Cat.</t>
  </si>
  <si>
    <t>Dose</t>
  </si>
  <si>
    <t>Timing / food</t>
  </si>
  <si>
    <t>Trigger marker</t>
  </si>
  <si>
    <t>Skip if</t>
  </si>
  <si>
    <t>Stop rule</t>
  </si>
  <si>
    <t>Do NOT combine with</t>
  </si>
  <si>
    <t>Why (mechanism)</t>
  </si>
  <si>
    <t>Evidence</t>
  </si>
  <si>
    <t>Creatine monohydrate</t>
  </si>
  <si>
    <t>B</t>
  </si>
  <si>
    <t>Active</t>
  </si>
  <si>
    <t>5 g</t>
  </si>
  <si>
    <t>DAILY (no exceptions)</t>
  </si>
  <si>
    <t>Any time · with food fine</t>
  </si>
  <si>
    <t>N/A — no blood marker</t>
  </si>
  <si>
    <t>Never skip (saturation effect)</t>
  </si>
  <si>
    <t>Stop if kidney disease develops; otherwise lifelong</t>
  </si>
  <si>
    <t>Nothing major. Caffeine concern overstated.</t>
  </si>
  <si>
    <t>Muscle/brain saturation; ATP regeneration. ~28 days to fill pool. Strength, lean mass, cognition.</t>
  </si>
  <si>
    <t>STRONG</t>
  </si>
  <si>
    <t>KREIDER-2017</t>
  </si>
  <si>
    <t>Omega-3 (EPA+DHA)</t>
  </si>
  <si>
    <t>2 g EPA+DHA combined</t>
  </si>
  <si>
    <t>DAILY (EOD acceptable at ≥3 g)</t>
  </si>
  <si>
    <t>AM with breakfast (fat required)</t>
  </si>
  <si>
    <t>Omega-3 index (RBC)</t>
  </si>
  <si>
    <t>≥8% omega-3 index → 1 g maintenance</t>
  </si>
  <si>
    <t>Stop 7 days before surgery; reassess if bleeding events</t>
  </si>
  <si>
    <t>Zinc (separate 2h). Anticoagulants — consult MD.</t>
  </si>
  <si>
    <t>Cell membrane phospholipid incorporation; anti-inflammatory eicosanoids. Half-life ~30h.</t>
  </si>
  <si>
    <t>HARRIS-2017 · MASON-2022</t>
  </si>
  <si>
    <t>Psyllium husk fiber</t>
  </si>
  <si>
    <t>5–10 g</t>
  </si>
  <si>
    <t>DAILY</t>
  </si>
  <si>
    <t>Any meal · 250 mL water</t>
  </si>
  <si>
    <t>LDL-C, ApoB</t>
  </si>
  <si>
    <t>Continue regardless — daily fiber goal</t>
  </si>
  <si>
    <t>Stop only if confirmed obstruction; otherwise lifelong</t>
  </si>
  <si>
    <t>⚠️ ALL medications + supplements — bind 2h apart</t>
  </si>
  <si>
    <t>Bile-acid sequestration → ~7% LDL drop. Glucose smoothing. Microbiome substrate.</t>
  </si>
  <si>
    <t>BRUM-2018</t>
  </si>
  <si>
    <t>Curcumin + piperine (or phytosomal)</t>
  </si>
  <si>
    <t>500–1000 mg</t>
  </si>
  <si>
    <t>ALTERNATE DAY acceptable</t>
  </si>
  <si>
    <t>PM with fat</t>
  </si>
  <si>
    <t>hs-CRP (anti-inflammation target)</t>
  </si>
  <si>
    <t>hs-CRP &lt;0.5 → continue at low dose if goal is met</t>
  </si>
  <si>
    <t>Stop if abnormal LFTs (rare hepatotoxicity reports)</t>
  </si>
  <si>
    <t>Anticoagulants. Iron (chelation).</t>
  </si>
  <si>
    <t>NF-κB inhibition; tissue anti-inflammatory effect. Long retention supports EOD.</t>
  </si>
  <si>
    <t>MODERATE</t>
  </si>
  <si>
    <t>DAILY-2016</t>
  </si>
  <si>
    <t>Vitamin D3 + K2 (MK-7)</t>
  </si>
  <si>
    <t>A</t>
  </si>
  <si>
    <t>Discuss</t>
  </si>
  <si>
    <t>2000–4000 IU D3 + 100 mcg MK-7</t>
  </si>
  <si>
    <t>DAILY (or 10,000 IU 2×/wk EOD)</t>
  </si>
  <si>
    <t>AM · with fat</t>
  </si>
  <si>
    <t>25(OH)D vitamin D</t>
  </si>
  <si>
    <t>≥60 ng/mL → 1000 IU maintenance</t>
  </si>
  <si>
    <t>Re-test 8 wks after starting; stop if calcium rises</t>
  </si>
  <si>
    <t>K2 + warfarin — consult MD. Otherwise nothing.</t>
  </si>
  <si>
    <t>Northern latitude (Minnesota) = limited UVB Oct–Apr. "Normal" 30 ng/mL is below longevity-optimal.</t>
  </si>
  <si>
    <t>MANSSON-2024 · NIH-ODS-D</t>
  </si>
  <si>
    <t>Vitamin B12 (methylcobalamin)</t>
  </si>
  <si>
    <t>500–1000 mcg</t>
  </si>
  <si>
    <t>EOD or 2×/wk if normal</t>
  </si>
  <si>
    <t>AM · either</t>
  </si>
  <si>
    <t>Serum B12 + MMA</t>
  </si>
  <si>
    <t>B12 &gt;500 AND MMA &lt;0.4 → maintenance only</t>
  </si>
  <si>
    <t>Stop full dose when MMA normalizes</t>
  </si>
  <si>
    <t>Nothing.</t>
  </si>
  <si>
    <t>Stomach acid drops with age → absorption falls. Liver stores ~2 yr of B12.</t>
  </si>
  <si>
    <t>STRONG (if 60+)</t>
  </si>
  <si>
    <t>USPSTF-B12 · LINDENBAUM-1994</t>
  </si>
  <si>
    <t>Magnesium glycinate or threonate</t>
  </si>
  <si>
    <t>A/C</t>
  </si>
  <si>
    <t>200–400 mg elemental</t>
  </si>
  <si>
    <t>DAILY (split AM/PM or PM only)</t>
  </si>
  <si>
    <t>PM 1h pre-bed</t>
  </si>
  <si>
    <t>RBC magnesium (serum unreliable)</t>
  </si>
  <si>
    <t>RBC Mg &gt;5.5 mg/dL — most adults subclinically low</t>
  </si>
  <si>
    <t>Stop if diarrhea persists (switch form)</t>
  </si>
  <si>
    <t>Calcium (separate 2h). High zinc.</t>
  </si>
  <si>
    <t>Glycinate = sleep/anxiolytic (NMDA). Threonate = cognition (CNS penetration).</t>
  </si>
  <si>
    <t>BOYLE-2017 · SLUTSKY-2010</t>
  </si>
  <si>
    <t>CoQ10 (ubiquinol)</t>
  </si>
  <si>
    <t>100–200 mg</t>
  </si>
  <si>
    <t>DAILY if on statin · else SKIP</t>
  </si>
  <si>
    <t>Only if on statin / HF</t>
  </si>
  <si>
    <t>Not on statin → optional only</t>
  </si>
  <si>
    <t>Stop if statin discontinued</t>
  </si>
  <si>
    <t>Warfarin — INR check.</t>
  </si>
  <si>
    <t>Statins deplete CoQ10 (mevalonate pathway). Without statin, evidence weak in healthy adults.</t>
  </si>
  <si>
    <t>MODERATE (statin only)</t>
  </si>
  <si>
    <t>MORTENSEN-2014</t>
  </si>
  <si>
    <t>Multivitamin (broad)</t>
  </si>
  <si>
    <t>Optional</t>
  </si>
  <si>
    <t>1 serving</t>
  </si>
  <si>
    <t>DAILY (or EOD)</t>
  </si>
  <si>
    <t>AM · with food</t>
  </si>
  <si>
    <t>No single marker</t>
  </si>
  <si>
    <t>Diet excellent + targeted labs normal → optional</t>
  </si>
  <si>
    <t>Stop if iron content excess (check ferritin)</t>
  </si>
  <si>
    <t>Iron content + coffee/tea/calcium (separate 2h).</t>
  </si>
  <si>
    <t>COSMOS-Mind: cognitive benefit even in well-nourished. Small effect, cheap insurance.</t>
  </si>
  <si>
    <t>BAKER-2023</t>
  </si>
  <si>
    <t>Whey or casein protein</t>
  </si>
  <si>
    <t>Active (if needed)</t>
  </si>
  <si>
    <t>20–30 g</t>
  </si>
  <si>
    <t>AS NEEDED to hit per-meal leucine</t>
  </si>
  <si>
    <t>Any meal short on protein</t>
  </si>
  <si>
    <t>Track diet protein (not blood)</t>
  </si>
  <si>
    <t>Hitting 1.6 g/kg from food → skip</t>
  </si>
  <si>
    <t>No stop rule — food tool</t>
  </si>
  <si>
    <t>Triggers 2.5–3 g leucine threshold for MPS. Casein slower release for pre-bed.</t>
  </si>
  <si>
    <t>MORTON-2018</t>
  </si>
  <si>
    <t>Zinc</t>
  </si>
  <si>
    <t>C</t>
  </si>
  <si>
    <t>15 mg</t>
  </si>
  <si>
    <t>EOD or 5 days/wk (avoid copper depletion)</t>
  </si>
  <si>
    <t>PM · either</t>
  </si>
  <si>
    <t>Plasma zinc</t>
  </si>
  <si>
    <t>&gt;100 µg/dL → skip</t>
  </si>
  <si>
    <t>Stop if copper symptoms (anemia, neuro)</t>
  </si>
  <si>
    <t>⚠️ Omega-3 + calcium + iron + magnesium — separate 2h</t>
  </si>
  <si>
    <t>Immune, taste, wound healing. Chronic high dose depletes copper.</t>
  </si>
  <si>
    <t>PRASAD-2014</t>
  </si>
  <si>
    <t>Ashwagandha (KSM-66)</t>
  </si>
  <si>
    <t>300–600 mg</t>
  </si>
  <si>
    <t>CYCLE 8 wk on / 2 wk off</t>
  </si>
  <si>
    <t>Subjective (stress, sleep)</t>
  </si>
  <si>
    <t>No marker — cycle to preserve effect</t>
  </si>
  <si>
    <t>Stop if LFT abnormal (hepatotoxicity reports), thyroid changes</t>
  </si>
  <si>
    <t>Sedatives. Thyroid meds (can raise T4 — TSH check).</t>
  </si>
  <si>
    <t>Cortisol reduction. Cycling prevents receptor downregulation. Liver risk requires monitoring.</t>
  </si>
  <si>
    <t>SALVE-2019 · LOPRESTI-2019</t>
  </si>
  <si>
    <t>Glycine</t>
  </si>
  <si>
    <t>3 g</t>
  </si>
  <si>
    <t>DAILY if sleep issue</t>
  </si>
  <si>
    <t>30 min pre-bed</t>
  </si>
  <si>
    <t>Subjective (sleep)</t>
  </si>
  <si>
    <t>Sleep good → skip</t>
  </si>
  <si>
    <t>Stop if no perceived benefit at 2 wk</t>
  </si>
  <si>
    <t>Lowers core body temperature → sleep onset.</t>
  </si>
  <si>
    <t>INAGAWA-2006</t>
  </si>
  <si>
    <t>Iron</t>
  </si>
  <si>
    <t>Avoid unless prescribed</t>
  </si>
  <si>
    <t>Only if deficient</t>
  </si>
  <si>
    <t>Only if prescribed</t>
  </si>
  <si>
    <t>Per clinician</t>
  </si>
  <si>
    <t>Ferritin, hemoglobin</t>
  </si>
  <si>
    <t>Men: ferritin &gt;50 → DO NOT supplement</t>
  </si>
  <si>
    <t>Stop when ferritin normalized</t>
  </si>
  <si>
    <t>Calcium · coffee/tea (separate 2h)</t>
  </si>
  <si>
    <t>Iron overload is harmful in older men (hemochromatosis risk). NEVER a routine longevity supplement.</t>
  </si>
  <si>
    <t>STRONG against routine use</t>
  </si>
  <si>
    <t>NIH-ODS-IRON</t>
  </si>
  <si>
    <t>Aspirin (low-dose)</t>
  </si>
  <si>
    <t>Cardiovascular risk assessment</t>
  </si>
  <si>
    <t>Primary prevention &gt;60 → bleeding risk usually outweighs benefit</t>
  </si>
  <si>
    <t>Stop only with clinician guidance</t>
  </si>
  <si>
    <t>NSAIDs · anticoagulants · alcohol</t>
  </si>
  <si>
    <t>USPSTF 2022: aspirin no longer recommended for routine primary prevention adults ≥60. GI/intracranial bleeding risk.</t>
  </si>
  <si>
    <t>STRONG (against routine use)</t>
  </si>
  <si>
    <t>USPSTF-ASPIRIN-2022</t>
  </si>
  <si>
    <t>NMN / NR (NAD+ boosters)</t>
  </si>
  <si>
    <t>Deprioritize</t>
  </si>
  <si>
    <t>250–500 mg</t>
  </si>
  <si>
    <t>DAILY if used (limited evidence)</t>
  </si>
  <si>
    <t>NAD assay is research-only</t>
  </si>
  <si>
    <t>No clinical endpoint proven in humans</t>
  </si>
  <si>
    <t>Stop if no benefit at 90 days</t>
  </si>
  <si>
    <t>Nothing established.</t>
  </si>
  <si>
    <t>Raises blood NAD+, but no proven longevity endpoint in humans yet. FDA novel status.</t>
  </si>
  <si>
    <t>SPECULATIVE</t>
  </si>
  <si>
    <t>YOSHINO-2021</t>
  </si>
  <si>
    <t>Resveratrol</t>
  </si>
  <si>
    <t>DAILY if used</t>
  </si>
  <si>
    <t>AM with fat</t>
  </si>
  <si>
    <t>No clinical marker</t>
  </si>
  <si>
    <t>Human evidence thin</t>
  </si>
  <si>
    <t>Anticoagulants · CYP3A4 substrates (many drugs)</t>
  </si>
  <si>
    <t>Sirtuin activator in vitro; human trials disappointing. Poor bioavailability.</t>
  </si>
  <si>
    <t>BERMAN-2017</t>
  </si>
  <si>
    <t>Hormones / TRT / HRT</t>
  </si>
  <si>
    <t>—</t>
  </si>
  <si>
    <t>Specialist only</t>
  </si>
  <si>
    <t>Specialist-prescribed only</t>
  </si>
  <si>
    <t>Per specialist</t>
  </si>
  <si>
    <t>Full hormone panel</t>
  </si>
  <si>
    <t>Routine wellness use NOT supported</t>
  </si>
  <si>
    <t>Specialist titration only</t>
  </si>
  <si>
    <t>Many — full medication review</t>
  </si>
  <si>
    <t>Real disease indications exist (hypogonadism, severe menopause). NOT a longevity hack.</t>
  </si>
  <si>
    <t>CONTEXT-DEPENDENT</t>
  </si>
  <si>
    <t>CLINICAL-DECISION</t>
  </si>
  <si>
    <t>Rapamycin / metformin (off-label)</t>
  </si>
  <si>
    <t>Research/specialist only</t>
  </si>
  <si>
    <t>No approved longevity indication</t>
  </si>
  <si>
    <t>No FDA longevity approval</t>
  </si>
  <si>
    <t>Specialist protocol only</t>
  </si>
  <si>
    <t>Many drug interactions</t>
  </si>
  <si>
    <t>Active research, not yet practice standard. Side effects + interactions require specialist supervision.</t>
  </si>
  <si>
    <t>EXPERIMENTAL</t>
  </si>
  <si>
    <t>PARTRIDGE-2020</t>
  </si>
  <si>
    <t>STACKING &amp; SPACING RULES</t>
  </si>
  <si>
    <t>Combination</t>
  </si>
  <si>
    <t>Rule</t>
  </si>
  <si>
    <t>Iron + calcium</t>
  </si>
  <si>
    <t>Separate by 2 hours. Calcium blocks iron absorption ~50%.</t>
  </si>
  <si>
    <t>Iron + coffee/tea</t>
  </si>
  <si>
    <t>Separate by 1–2 hours. Tannins chelate iron.</t>
  </si>
  <si>
    <t>Zinc + copper</t>
  </si>
  <si>
    <t>Chronic daily zinc &gt;25 mg depletes copper. Use EOD or 5 days/wk; add 1 mg copper if extended.</t>
  </si>
  <si>
    <t>Zinc + omega-3</t>
  </si>
  <si>
    <t>Separate by 2 hours. Compete for absorption (transition metals + fatty acids).</t>
  </si>
  <si>
    <t>Calcium + magnesium</t>
  </si>
  <si>
    <t>Separate by 2 hours. Same intestinal transporters.</t>
  </si>
  <si>
    <t>Calcium dose ceiling</t>
  </si>
  <si>
    <t>Single dose ≥500 mg saturates absorption. Split larger totals.</t>
  </si>
  <si>
    <t>Psyllium + ALL</t>
  </si>
  <si>
    <t>⚠️ 2-hour gap from ALL meds + supplements. Psyllium binds them in gut.</t>
  </si>
  <si>
    <t>Fat-soluble vitamins (A, D, E, K)</t>
  </si>
  <si>
    <t>Take with fat-containing meal. Otherwise absorption drops ~50%.</t>
  </si>
  <si>
    <t>B vitamins</t>
  </si>
  <si>
    <t>AM. Can be activating; PM dosing may disrupt sleep.</t>
  </si>
  <si>
    <t>Magnesium for sleep</t>
  </si>
  <si>
    <t>60–90 min pre-bed. Glycinate or threonate (not citrate — laxative).</t>
  </si>
  <si>
    <t>Thyroid medication (if any)</t>
  </si>
  <si>
    <t>Empty stomach, 1h before food. 4h gap from calcium, iron, magnesium.</t>
  </si>
  <si>
    <t>Curcumin bioavailability</t>
  </si>
  <si>
    <t>Take with fat + piperine (or phytosomal form). Naked curcumin &lt;1% bioavailability.</t>
  </si>
  <si>
    <t>Creatine timing</t>
  </si>
  <si>
    <t>Doesn't matter — daily consistency does. Loading phase optional (4×5g for 7 days).</t>
  </si>
  <si>
    <t>Anticoagulants</t>
  </si>
  <si>
    <t>⚠️ Many supplements interact (omega-3, curcumin, garlic, ginkgo, vitamin E, vitamin K). Pharmacist review essential.</t>
  </si>
  <si>
    <t>DECISION ALGORITHM (quarterly after labs)</t>
  </si>
  <si>
    <t>① Category B? → Take daily regardless of any blood test. (Creatine, Omega-3, Psyllium)</t>
  </si>
  <si>
    <t>② Category A? → Check trigger marker in 10_Blood_Markers. If at/above target → drop to maintenance or alternate-day. If below → full dose until next labs.</t>
  </si>
  <si>
    <t>③ Category C? → Continue only if subjective benefit is real. Cycle on/off to verify.</t>
  </si>
  <si>
    <t>④ Status = Avoid/Specialist? → Do not initiate without clinician decision.</t>
  </si>
  <si>
    <t>⑤ Spacing check → Open stacking rules above. Resolve conflicts by AM/PM split.</t>
  </si>
  <si>
    <t>⑥ Re-test at 90 days → adjust like titrating a medication.</t>
  </si>
  <si>
    <t>Blood Biomarker Panel — Longevity-Optimal Targets</t>
  </si>
  <si>
    <t>Targets are tighter than standard population norms. Discuss interpretation with your physician. Auto-status compares your value to optimal range.</t>
  </si>
  <si>
    <t>📋 Bring this list to your physician for quarterly bloodwork. Fill the "Your value" column in blue.</t>
  </si>
  <si>
    <t>Panel</t>
  </si>
  <si>
    <t>Marker</t>
  </si>
  <si>
    <t>Optimal range (longevity)</t>
  </si>
  <si>
    <t>Standard "normal"</t>
  </si>
  <si>
    <t>Units</t>
  </si>
  <si>
    <t>Your value</t>
  </si>
  <si>
    <t>Date</t>
  </si>
  <si>
    <t>Metabolic</t>
  </si>
  <si>
    <t>HbA1c</t>
  </si>
  <si>
    <t>4.8–5.4</t>
  </si>
  <si>
    <t>&lt;5.7</t>
  </si>
  <si>
    <t>%</t>
  </si>
  <si>
    <t>Glycated hemoglobin; 3-mo glucose average. Aggressive target reduces dementia + CV risk.</t>
  </si>
  <si>
    <t>Fasting glucose</t>
  </si>
  <si>
    <t>70–90</t>
  </si>
  <si>
    <t>&lt;100</t>
  </si>
  <si>
    <t>mg/dL</t>
  </si>
  <si>
    <t>Lower end = better insulin sensitivity.</t>
  </si>
  <si>
    <t>Fasting insulin</t>
  </si>
  <si>
    <t>2–6</t>
  </si>
  <si>
    <t>&lt;25</t>
  </si>
  <si>
    <t>µIU/mL</t>
  </si>
  <si>
    <t>Earliest sign of insulin resistance — often abnormal years before glucose rises.</t>
  </si>
  <si>
    <t>PETERSEN-2018</t>
  </si>
  <si>
    <t>HOMA-IR</t>
  </si>
  <si>
    <t>&lt;1.0</t>
  </si>
  <si>
    <t>&lt;2.5</t>
  </si>
  <si>
    <t>(Insulin × glucose)/405. Insulin resistance index.</t>
  </si>
  <si>
    <t>Triglycerides</t>
  </si>
  <si>
    <t>&lt;80</t>
  </si>
  <si>
    <t>&lt;150</t>
  </si>
  <si>
    <t>TG/HDL ratio &lt;1.5 = excellent. &gt;2.0 = metabolic dysfunction.</t>
  </si>
  <si>
    <t>Uric acid</t>
  </si>
  <si>
    <t>&lt;5.5 (M) / &lt;4.5 (F)</t>
  </si>
  <si>
    <t>&lt;6.0–7.0</t>
  </si>
  <si>
    <t>Marker of fructose/purine load; CV risk.</t>
  </si>
  <si>
    <t>JOHNSON-2013</t>
  </si>
  <si>
    <t>Cardiovascular</t>
  </si>
  <si>
    <t>ApoB</t>
  </si>
  <si>
    <t>&lt;80 (aggressive &lt;65)</t>
  </si>
  <si>
    <t>&lt;90</t>
  </si>
  <si>
    <t>Single best lipid marker; counts all atherogenic particles (Marston 2022).</t>
  </si>
  <si>
    <t>MARSTON-2022</t>
  </si>
  <si>
    <t>LDL-C</t>
  </si>
  <si>
    <t>&lt;70 (aggressive &lt;55)</t>
  </si>
  <si>
    <t>Use ApoB if available; LDL-C if not.</t>
  </si>
  <si>
    <t>HDL-C</t>
  </si>
  <si>
    <t>&gt;50 (M) / &gt;60 (F)</t>
  </si>
  <si>
    <t>&gt;40 (M) / &gt;50 (F)</t>
  </si>
  <si>
    <t>Functionality matters more than absolute number.</t>
  </si>
  <si>
    <t>Lp(a)</t>
  </si>
  <si>
    <t>&lt;30 (&lt;75 nmol/L)</t>
  </si>
  <si>
    <t>&lt;50</t>
  </si>
  <si>
    <t>nmol/L</t>
  </si>
  <si>
    <t>GENETIC — measure ONCE in adulthood. Independent CV risk pathway.</t>
  </si>
  <si>
    <t>TSIMIKAS-2017</t>
  </si>
  <si>
    <t>Non-HDL-C</t>
  </si>
  <si>
    <t>&lt;100 (aggressive &lt;80)</t>
  </si>
  <si>
    <t>&lt;130</t>
  </si>
  <si>
    <t>Total minus HDL = all atherogenic. Use if ApoB unavailable.</t>
  </si>
  <si>
    <t>BP (systolic)</t>
  </si>
  <si>
    <t>&lt;120</t>
  </si>
  <si>
    <t>mmHg</t>
  </si>
  <si>
    <t>SPRINT trial: &lt;120 systolic = lower mortality in adults &gt;50.</t>
  </si>
  <si>
    <t>SPRINT-2015</t>
  </si>
  <si>
    <t>BP (diastolic)</t>
  </si>
  <si>
    <t>Pair with systolic.</t>
  </si>
  <si>
    <t>Inflammation</t>
  </si>
  <si>
    <t>hs-CRP</t>
  </si>
  <si>
    <t>&lt;1.0 (optimal &lt;0.5)</t>
  </si>
  <si>
    <t>&lt;3.0</t>
  </si>
  <si>
    <t>mg/L</t>
  </si>
  <si>
    <t>Inflammation marker. Acutely elevated by infection — repeat when well.</t>
  </si>
  <si>
    <t>RIDKER-2002</t>
  </si>
  <si>
    <t>GlycA</t>
  </si>
  <si>
    <t>&lt;400</t>
  </si>
  <si>
    <t>&lt;450</t>
  </si>
  <si>
    <t>µmol/L</t>
  </si>
  <si>
    <t>Newer chronic inflammation marker; may exceed CRP for prediction.</t>
  </si>
  <si>
    <t>CONNELLY-2017</t>
  </si>
  <si>
    <t>Homocysteine</t>
  </si>
  <si>
    <t>&lt;8</t>
  </si>
  <si>
    <t>&lt;15</t>
  </si>
  <si>
    <t>B12/folate-related; &gt;10 = stroke + dementia risk.</t>
  </si>
  <si>
    <t>SMITH-2018</t>
  </si>
  <si>
    <t>Kidney/Liver</t>
  </si>
  <si>
    <t>eGFR (cystatin C)</t>
  </si>
  <si>
    <t>&gt;90</t>
  </si>
  <si>
    <t>&gt;60</t>
  </si>
  <si>
    <t>mL/min/1.73m²</t>
  </si>
  <si>
    <t>Cystatin C more accurate than creatinine in older adults.</t>
  </si>
  <si>
    <t>INKER-2021</t>
  </si>
  <si>
    <t>Creatinine</t>
  </si>
  <si>
    <t>0.6–1.2</t>
  </si>
  <si>
    <t>&lt;1.3</t>
  </si>
  <si>
    <t>Standard but muscle-mass-dependent.</t>
  </si>
  <si>
    <t>CMP</t>
  </si>
  <si>
    <t>BUN</t>
  </si>
  <si>
    <t>7–20</t>
  </si>
  <si>
    <t>Hydration + protein intake marker.</t>
  </si>
  <si>
    <t>ALT</t>
  </si>
  <si>
    <t>&lt;30 (M) / &lt;19 (F)</t>
  </si>
  <si>
    <t>&lt;40</t>
  </si>
  <si>
    <t>U/L</t>
  </si>
  <si>
    <t>Liver inflammation. Mildly elevated = NAFLD screen.</t>
  </si>
  <si>
    <t>KWO-2017</t>
  </si>
  <si>
    <t>AST</t>
  </si>
  <si>
    <t>&lt;30</t>
  </si>
  <si>
    <t>Less liver-specific than ALT.</t>
  </si>
  <si>
    <t>GGT</t>
  </si>
  <si>
    <t>&lt;25 (M) / &lt;20 (F)</t>
  </si>
  <si>
    <t>&lt;60</t>
  </si>
  <si>
    <t>Alcohol + oxidative stress marker.</t>
  </si>
  <si>
    <t>WHITFIELD-2001</t>
  </si>
  <si>
    <t>Albumin</t>
  </si>
  <si>
    <t>4.0–5.0</t>
  </si>
  <si>
    <t>3.5–5.0</t>
  </si>
  <si>
    <t>g/dL</t>
  </si>
  <si>
    <t>Liver function + nutritional status.</t>
  </si>
  <si>
    <t>Thyroid</t>
  </si>
  <si>
    <t>TSH</t>
  </si>
  <si>
    <t>0.5–2.5</t>
  </si>
  <si>
    <t>0.4–4.5</t>
  </si>
  <si>
    <t>Tighter range preferred. &gt;2.5 with symptoms = workup.</t>
  </si>
  <si>
    <t>BAHN-2011</t>
  </si>
  <si>
    <t>Free T4</t>
  </si>
  <si>
    <t>1.0–1.5</t>
  </si>
  <si>
    <t>0.8–1.8</t>
  </si>
  <si>
    <t>ng/dL</t>
  </si>
  <si>
    <t>Order if TSH abnormal.</t>
  </si>
  <si>
    <t>Free T3</t>
  </si>
  <si>
    <t>3.0–3.5</t>
  </si>
  <si>
    <t>2.3–4.2</t>
  </si>
  <si>
    <t>pg/mL</t>
  </si>
  <si>
    <t>Active thyroid hormone.</t>
  </si>
  <si>
    <t>Hormones</t>
  </si>
  <si>
    <t>Total testosterone</t>
  </si>
  <si>
    <t>500–900 (M)</t>
  </si>
  <si>
    <t>300–1000</t>
  </si>
  <si>
    <t>Treat only with hypogonadism diagnosis + symptoms (not as longevity hack).</t>
  </si>
  <si>
    <t>BHASIN-2018</t>
  </si>
  <si>
    <t>Free testosterone</t>
  </si>
  <si>
    <t>8–25 (M)</t>
  </si>
  <si>
    <t>6–22</t>
  </si>
  <si>
    <t>Bioavailable fraction.</t>
  </si>
  <si>
    <t>SHBG</t>
  </si>
  <si>
    <t>20–50</t>
  </si>
  <si>
    <t>10–80</t>
  </si>
  <si>
    <t>Affects free hormone availability.</t>
  </si>
  <si>
    <t>DHEA-S</t>
  </si>
  <si>
    <t>100–300</t>
  </si>
  <si>
    <t>70–500</t>
  </si>
  <si>
    <t>µg/dL</t>
  </si>
  <si>
    <t>Declines with age; replacement controversial.</t>
  </si>
  <si>
    <t>BAULIEU-2000</t>
  </si>
  <si>
    <t>IGF-1</t>
  </si>
  <si>
    <t>120–180</t>
  </si>
  <si>
    <t>ng/mL</t>
  </si>
  <si>
    <t>Growth/aging trade-off — middle is best. Too high = cancer risk; too low = sarcopenia.</t>
  </si>
  <si>
    <t>JUNNILA-2013</t>
  </si>
  <si>
    <t>Nutrients</t>
  </si>
  <si>
    <t>25(OH) vitamin D</t>
  </si>
  <si>
    <t>40–60</t>
  </si>
  <si>
    <t>30–100</t>
  </si>
  <si>
    <t>Longevity-optimal 40–60. Northern latitude → supplement Oct–Apr.</t>
  </si>
  <si>
    <t>NIH-ODS-D</t>
  </si>
  <si>
    <t>Vitamin B12</t>
  </si>
  <si>
    <t>500–900</t>
  </si>
  <si>
    <t>200–900</t>
  </si>
  <si>
    <t>&gt;500 with MMA &lt;0.4 = sufficient.</t>
  </si>
  <si>
    <t>NIH-ODS-B12</t>
  </si>
  <si>
    <t>Methylmalonic acid (MMA)</t>
  </si>
  <si>
    <t>&lt;0.4</t>
  </si>
  <si>
    <t>Functional B12 confirmation.</t>
  </si>
  <si>
    <t>LINDENBAUM-1994</t>
  </si>
  <si>
    <t>Folate</t>
  </si>
  <si>
    <t>&gt;7</t>
  </si>
  <si>
    <t>&gt;3</t>
  </si>
  <si>
    <t>Pair with B12 + homocysteine.</t>
  </si>
  <si>
    <t>NIH-ODS-FOLATE</t>
  </si>
  <si>
    <t>Ferritin</t>
  </si>
  <si>
    <t>50–150</t>
  </si>
  <si>
    <t>15–300</t>
  </si>
  <si>
    <t>Low = iron deficiency; high = inflammation or overload (men particularly).</t>
  </si>
  <si>
    <t>Omega-3 index</t>
  </si>
  <si>
    <t>&gt;8%</t>
  </si>
  <si>
    <t>No standard</t>
  </si>
  <si>
    <t>RBC EPA+DHA. &lt;4% high CV risk; &gt;8% protective.</t>
  </si>
  <si>
    <t>HARRIS-2017</t>
  </si>
  <si>
    <t>Magnesium (RBC)</t>
  </si>
  <si>
    <t>5.5–6.5</t>
  </si>
  <si>
    <t>4.2–6.8</t>
  </si>
  <si>
    <t>RBC more accurate than serum.</t>
  </si>
  <si>
    <t>WORKINGER-2018</t>
  </si>
  <si>
    <t>Zinc (plasma)</t>
  </si>
  <si>
    <t>70–120</t>
  </si>
  <si>
    <t>60–130</t>
  </si>
  <si>
    <t>Low = poor wound healing, immunity.</t>
  </si>
  <si>
    <t>CBC</t>
  </si>
  <si>
    <t>Hemoglobin</t>
  </si>
  <si>
    <t>13.5–17.0 (M) / 12.0–15.5 (F)</t>
  </si>
  <si>
    <t>Anemia → fatigue workup.</t>
  </si>
  <si>
    <t>WBC</t>
  </si>
  <si>
    <t>4.5–7.5</t>
  </si>
  <si>
    <t>4.0–11.0</t>
  </si>
  <si>
    <t>K/µL</t>
  </si>
  <si>
    <t>Chronically high or low = workup.</t>
  </si>
  <si>
    <t>RDW</t>
  </si>
  <si>
    <t>&lt;13.5</t>
  </si>
  <si>
    <t>&lt;14.5</t>
  </si>
  <si>
    <t>Anisocytosis. Mortality predictor in older adults.</t>
  </si>
  <si>
    <t>PATEL-2010</t>
  </si>
  <si>
    <t>Platelets</t>
  </si>
  <si>
    <t>150–400</t>
  </si>
  <si>
    <t>150–450</t>
  </si>
  <si>
    <t>Lower bound matters for bleeding risk.</t>
  </si>
  <si>
    <t>Novel/Cancer</t>
  </si>
  <si>
    <t>PSA (M)</t>
  </si>
  <si>
    <t>Per age</t>
  </si>
  <si>
    <t>Shared decision 55–69. Track velocity more than absolute.</t>
  </si>
  <si>
    <t>USPSTF-PSA</t>
  </si>
  <si>
    <t>CEA</t>
  </si>
  <si>
    <t>&lt;3.0 (non-smoker)</t>
  </si>
  <si>
    <t>Not screening — only for surveillance if cancer history.</t>
  </si>
  <si>
    <t>CLINICAL</t>
  </si>
  <si>
    <t>Note: Status defaults to "Discuss with MD" — Claude cannot diagnose. Bring values + this list to your physician for interpretation.</t>
  </si>
  <si>
    <t>Screenings, Vaccines, Safety Red Flags</t>
  </si>
  <si>
    <t>Enter "Last done" dates in blue. Next-due auto-calculates. Discuss frequency with physician.</t>
  </si>
  <si>
    <t>CANCER + DISEASE SCREENINGS (USPSTF + ACS)</t>
  </si>
  <si>
    <t>Screening</t>
  </si>
  <si>
    <t>Who / when</t>
  </si>
  <si>
    <t>Frequency (yrs)</t>
  </si>
  <si>
    <t>Last done</t>
  </si>
  <si>
    <t>Next due</t>
  </si>
  <si>
    <t>Colonoscopy</t>
  </si>
  <si>
    <t>Adults 45–75 (average risk)</t>
  </si>
  <si>
    <t>Colorectal cancer prevention/early detection</t>
  </si>
  <si>
    <t>USPSTF-CRC</t>
  </si>
  <si>
    <t>Stool DNA (Cologuard)</t>
  </si>
  <si>
    <t>Alternative to colonoscopy</t>
  </si>
  <si>
    <t>Lower-burden alternative; positive → colonoscopy</t>
  </si>
  <si>
    <t>Mammogram (F)</t>
  </si>
  <si>
    <t>Women 40–74</t>
  </si>
  <si>
    <t>Breast cancer screening; q1y if dense breasts (shared decision)</t>
  </si>
  <si>
    <t>USPSTF-BREAST</t>
  </si>
  <si>
    <t>Low-dose CT lung</t>
  </si>
  <si>
    <t>Age 50–80 + 20 pack-year history</t>
  </si>
  <si>
    <t>Only for smoking history meeting criteria</t>
  </si>
  <si>
    <t>USPSTF-LUNG</t>
  </si>
  <si>
    <t>Men 55–69 (shared decision)</t>
  </si>
  <si>
    <t>Velocity matters more than absolute; discuss benefits/harms</t>
  </si>
  <si>
    <t>Skin check (full body)</t>
  </si>
  <si>
    <t>Annual after 50</t>
  </si>
  <si>
    <t>Melanoma + non-melanoma early detection</t>
  </si>
  <si>
    <t>AAD</t>
  </si>
  <si>
    <t>Eye exam (dilated)</t>
  </si>
  <si>
    <t>After 60</t>
  </si>
  <si>
    <t>Glaucoma, macular degeneration, cataract, retinal disease</t>
  </si>
  <si>
    <t>AAO</t>
  </si>
  <si>
    <t>Dental cleaning + exam</t>
  </si>
  <si>
    <t>Adults</t>
  </si>
  <si>
    <t>Oral health → systemic inflammation + cardiovascular</t>
  </si>
  <si>
    <t>ADA</t>
  </si>
  <si>
    <t>Hearing test (audiogram)</t>
  </si>
  <si>
    <t>Lancet 2024: hearing loss = #1 modifiable dementia risk. Hearing aids cut conversion ~20%.</t>
  </si>
  <si>
    <t>LANCET-2024 · ACHIEVE-2023</t>
  </si>
  <si>
    <t>DEXA (bone density)</t>
  </si>
  <si>
    <t>F ≥65, M risk-based</t>
  </si>
  <si>
    <t>Osteoporosis screening; fracture prevention</t>
  </si>
  <si>
    <t>USPSTF-OSTEO</t>
  </si>
  <si>
    <t>Cervical (Pap + HPV)</t>
  </si>
  <si>
    <t>F until 65 if normal history</t>
  </si>
  <si>
    <t>Cervical cancer prevention</t>
  </si>
  <si>
    <t>USPSTF-CERVICAL</t>
  </si>
  <si>
    <t>Abdominal aortic ultrasound (M)</t>
  </si>
  <si>
    <t>M 65–75 if ever smoked</t>
  </si>
  <si>
    <t>AAA screening — one-time</t>
  </si>
  <si>
    <t>USPSTF-AAA</t>
  </si>
  <si>
    <t>Coronary artery calcium (CAC)</t>
  </si>
  <si>
    <t>After 40 if intermediate risk</t>
  </si>
  <si>
    <t>Direct measure of coronary plaque; refines risk</t>
  </si>
  <si>
    <t>AHA-CAC</t>
  </si>
  <si>
    <t>Whole-body MRI (longevity)</t>
  </si>
  <si>
    <t>Wealthy/optional</t>
  </si>
  <si>
    <t>Pre-symptomatic cancer + organ disease screening. Cost ~$2.5k.</t>
  </si>
  <si>
    <t>LONGEVITY-OPTION</t>
  </si>
  <si>
    <t>MCED test (Galleri)</t>
  </si>
  <si>
    <t>Optional, no USPSTF endorsement</t>
  </si>
  <si>
    <t>Multi-cancer early detection blood test. Evidence still building.</t>
  </si>
  <si>
    <t>LIU-2023</t>
  </si>
  <si>
    <t>Sleep study (if symptoms)</t>
  </si>
  <si>
    <t>Snoring + daytime sleepiness</t>
  </si>
  <si>
    <t>Sleep apnea = treatable, affects BP, cognition, mortality</t>
  </si>
  <si>
    <t>VACCINES (CDC Adult Schedule)</t>
  </si>
  <si>
    <t>Vaccine</t>
  </si>
  <si>
    <t>Influenza</t>
  </si>
  <si>
    <t>All adults annually</t>
  </si>
  <si>
    <t>Reduces severe flu + hospitalization</t>
  </si>
  <si>
    <t>CDC-VAX</t>
  </si>
  <si>
    <t>COVID-19</t>
  </si>
  <si>
    <t>Per current CDC schedule</t>
  </si>
  <si>
    <t>Updated annually per variants</t>
  </si>
  <si>
    <t>Shingles (Shingrix)</t>
  </si>
  <si>
    <t>Adults ≥50, 2 doses 2–6 mo apart</t>
  </si>
  <si>
    <t>Eyting 2024 Nature: 20% lower dementia in 7-yr study</t>
  </si>
  <si>
    <t>EYTING-2024</t>
  </si>
  <si>
    <t>Pneumococcal (PCV20 or PCV15+PPSV23)</t>
  </si>
  <si>
    <t>Adults ≥65</t>
  </si>
  <si>
    <t>Reduces pneumonia + bacteremia</t>
  </si>
  <si>
    <t>Td or Tdap</t>
  </si>
  <si>
    <t>Every 10 years</t>
  </si>
  <si>
    <t>Tetanus, diphtheria, pertussis booster</t>
  </si>
  <si>
    <t>RSV (if ≥75 or risk)</t>
  </si>
  <si>
    <t>One-time after 60 if at risk; routine ≥75</t>
  </si>
  <si>
    <t>Reduces RSV hospitalization in older adults</t>
  </si>
  <si>
    <t>Hepatitis B (if not immune)</t>
  </si>
  <si>
    <t>Adults ≥60 with risk factors</t>
  </si>
  <si>
    <t>Series of 2–3 if not previously vaccinated</t>
  </si>
  <si>
    <t>Travel vaccines</t>
  </si>
  <si>
    <t>As indicated by destination</t>
  </si>
  <si>
    <t>Yellow fever, hepatitis A, typhoid, etc.</t>
  </si>
  <si>
    <t>CDC-TRAVEL</t>
  </si>
  <si>
    <t>🚨 EMERGENCY RED FLAGS — call 911 / go to ER</t>
  </si>
  <si>
    <t>Symptom</t>
  </si>
  <si>
    <t>Why critical</t>
  </si>
  <si>
    <t>Action</t>
  </si>
  <si>
    <t>Chest pain or pressure</t>
  </si>
  <si>
    <t>Possible MI; time = muscle. Especially with: arm/jaw radiation, sweating, nausea, shortness of breath.</t>
  </si>
  <si>
    <t>Call 911. Chew aspirin 325 mg if not allergic and not bleeding.</t>
  </si>
  <si>
    <t>Stroke symptoms (FAST)</t>
  </si>
  <si>
    <t>Face droop, Arm weakness, Speech difficulty, Time = brain. Each minute = 1.9 million neurons lost.</t>
  </si>
  <si>
    <t>Call 911 immediately. Note exact symptom-onset time.</t>
  </si>
  <si>
    <t>Sudden severe shortness of breath</t>
  </si>
  <si>
    <t>PE, MI, heart failure, severe asthma — all emergencies.</t>
  </si>
  <si>
    <t>Call 911 if severe or with chest pain, leg swelling, recent travel.</t>
  </si>
  <si>
    <t>Fainting / syncope</t>
  </si>
  <si>
    <t>Cardiac arrhythmia, severe hypotension, neuro event.</t>
  </si>
  <si>
    <t>ER evaluation, especially first episode or with palpitations/chest pain.</t>
  </si>
  <si>
    <t>Sudden severe headache ("worst of life")</t>
  </si>
  <si>
    <t>Subarachnoid hemorrhage risk. Time-critical.</t>
  </si>
  <si>
    <t>Call 911 / ER immediately.</t>
  </si>
  <si>
    <t>GI bleeding (vomiting blood, black/tarry stool, bright red rectal bleeding)</t>
  </si>
  <si>
    <t>Active blood loss; cancer; ulcer; varices.</t>
  </si>
  <si>
    <t>Call clinician same day; ER if heavy or with dizziness.</t>
  </si>
  <si>
    <t>New severe abdominal pain</t>
  </si>
  <si>
    <t>Appendicitis, AAA, bowel obstruction, ischemia — all surgical emergencies.</t>
  </si>
  <si>
    <t>ER evaluation.</t>
  </si>
  <si>
    <t>Sudden unilateral weakness or vision loss</t>
  </si>
  <si>
    <t>Stroke or TIA.</t>
  </si>
  <si>
    <t>Call 911.</t>
  </si>
  <si>
    <t>Seizure (new onset)</t>
  </si>
  <si>
    <t>Brain pathology requiring workup.</t>
  </si>
  <si>
    <t>Call 911 for prolonged or first-ever seizure.</t>
  </si>
  <si>
    <t>Suicidal thoughts or psychiatric emergency</t>
  </si>
  <si>
    <t>Treatable; help available.</t>
  </si>
  <si>
    <t>Call 988 (US Suicide &amp; Crisis Lifeline) or go to ER.</t>
  </si>
  <si>
    <t>Sleep + Recovery — QQR Framework + Heat/Cold Protocols</t>
  </si>
  <si>
    <t>Walker QQR: Quality · Quantity · Regularity. Plus sauna (Laukkanen) and cold (Soberg) protocols.</t>
  </si>
  <si>
    <t>SLEEP HYGIENE — WALKER QQR FRAMEWORK</t>
  </si>
  <si>
    <t>Element</t>
  </si>
  <si>
    <t>Quantity (duration)</t>
  </si>
  <si>
    <t>7–9 hr opportunity</t>
  </si>
  <si>
    <t>Bed by 22:00, wake 05:30 = 7.5 hr window</t>
  </si>
  <si>
    <t>Sleep &lt;7h: 2× MI risk, 1.4× all-cause mortality.</t>
  </si>
  <si>
    <t>Older adults often think they need less — false.</t>
  </si>
  <si>
    <t>Quality (efficiency)</t>
  </si>
  <si>
    <t>&gt;85% sleep efficiency</t>
  </si>
  <si>
    <t>Time asleep ÷ time in bed. Track via Garmin/Whoop/Oura.</t>
  </si>
  <si>
    <t>Fragmentation worse than short sleep for cognition.</t>
  </si>
  <si>
    <t>WALKER-2017</t>
  </si>
  <si>
    <t>Apnea screen if low + snoring.</t>
  </si>
  <si>
    <t>Regularity (timing)</t>
  </si>
  <si>
    <t>Bedtime ± 30 min</t>
  </si>
  <si>
    <t>Same wake even weekends. Don't bank sleep on weekends.</t>
  </si>
  <si>
    <t>Regularity outranks duration for cardio outcomes (Mansson 2024).</t>
  </si>
  <si>
    <t>MANSSON-2024</t>
  </si>
  <si>
    <t>Sleep-in shift = mini-jetlag.</t>
  </si>
  <si>
    <t>Morning light</t>
  </si>
  <si>
    <t>10–15 min outdoor &lt;30 min after wake</t>
  </si>
  <si>
    <t>Walk, breakfast on patio, no sunglasses</t>
  </si>
  <si>
    <t>Anchors SCN master clock; starts 12–14h melatonin clock.</t>
  </si>
  <si>
    <t>Cloudy day still 5–10× indoor lux.</t>
  </si>
  <si>
    <t>Evening light</t>
  </si>
  <si>
    <t>Dim, no blue, 60 min before bed</t>
  </si>
  <si>
    <t>Dimmer switches; blue-blocker glasses; no overhead lights</t>
  </si>
  <si>
    <t>Light suppresses melatonin. Even modest evening light delays sleep onset.</t>
  </si>
  <si>
    <t>Phone screens dim mode only.</t>
  </si>
  <si>
    <t>Room temperature</t>
  </si>
  <si>
    <t>18°C (65°F)</t>
  </si>
  <si>
    <t>Cool the bedroom; warm bath/shower 1–2h before bed</t>
  </si>
  <si>
    <t>Core body temp must drop for sleep onset. Liao 2025 meta: warm bath/footbath 1–2h pre-bed = +9 min sleep, +14% efficiency.</t>
  </si>
  <si>
    <t>LIAO-2025</t>
  </si>
  <si>
    <t>Counterintuitive: warm bath cools you.</t>
  </si>
  <si>
    <t>Caffeine cutoff</t>
  </si>
  <si>
    <t>8 hours before bed</t>
  </si>
  <si>
    <t>No caffeine after 14:00 if bed at 22:00</t>
  </si>
  <si>
    <t>Half-life 5–6h; quarter-life 10–12h. Stays at receptors.</t>
  </si>
  <si>
    <t>Genetic variation in metabolism.</t>
  </si>
  <si>
    <t>None or minimal — never as sleep aid</t>
  </si>
  <si>
    <t>Avoid within 3h of bed</t>
  </si>
  <si>
    <t>Sedation ≠ sleep. Fragments REM, drops HRV, raises HR.</t>
  </si>
  <si>
    <t>Common misconception in older adults.</t>
  </si>
  <si>
    <t>Sleep apnea screen</t>
  </si>
  <si>
    <t>STOP-BANG if snoring + daytime sleepiness</t>
  </si>
  <si>
    <t>Polysomnography or home sleep test</t>
  </si>
  <si>
    <t>Apnea worsens BP, fatigue, cognition, AFib risk.</t>
  </si>
  <si>
    <t>CPAP highly effective if diagnosed.</t>
  </si>
  <si>
    <t>Insomnia (if &gt;3 mo)</t>
  </si>
  <si>
    <t>CBT-I first-line (NOT sleep meds)</t>
  </si>
  <si>
    <t>Find CBT-I therapist; apps like CBT-I Coach (free)</t>
  </si>
  <si>
    <t>AASM first-line. More effective than sleep meds at 1 year.</t>
  </si>
  <si>
    <t>Sleep meds: dependence + dementia risk.</t>
  </si>
  <si>
    <t>14-NIGHT SLEEP TRACKER</t>
  </si>
  <si>
    <t>Night</t>
  </si>
  <si>
    <t>Bedtime</t>
  </si>
  <si>
    <t>Wake time</t>
  </si>
  <si>
    <t>Hours slept</t>
  </si>
  <si>
    <t>Quality 1–10</t>
  </si>
  <si>
    <t>Night 1</t>
  </si>
  <si>
    <t>Night 2</t>
  </si>
  <si>
    <t>Night 3</t>
  </si>
  <si>
    <t>Night 4</t>
  </si>
  <si>
    <t>Night 5</t>
  </si>
  <si>
    <t>Night 6</t>
  </si>
  <si>
    <t>Night 7</t>
  </si>
  <si>
    <t>Night 8</t>
  </si>
  <si>
    <t>Night 9</t>
  </si>
  <si>
    <t>Night 10</t>
  </si>
  <si>
    <t>Night 11</t>
  </si>
  <si>
    <t>Night 12</t>
  </si>
  <si>
    <t>Night 13</t>
  </si>
  <si>
    <t>Night 14</t>
  </si>
  <si>
    <t>14-night avg</t>
  </si>
  <si>
    <t>HEAT EXPOSURE — SAUNA PROTOCOL (Laukkanen 2015)</t>
  </si>
  <si>
    <t>4–7 sessions/wk</t>
  </si>
  <si>
    <t>Post-training preferred</t>
  </si>
  <si>
    <t>Dose-response: 4–7×/wk = 50% lower CV death vs 1×/wk</t>
  </si>
  <si>
    <t>Not for unstable angina, severe AS, decompensated HF</t>
  </si>
  <si>
    <t>20+ min per session</t>
  </si>
  <si>
    <t>Build gradually if new</t>
  </si>
  <si>
    <t>Mortality benefit appears at ≥19 min average</t>
  </si>
  <si>
    <t>Stop early if dizzy / lightheaded</t>
  </si>
  <si>
    <t>Temperature</t>
  </si>
  <si>
    <t>80°C (175°F) dry sauna</t>
  </si>
  <si>
    <t>Traditional Finnish; infrared less studied but reasonable</t>
  </si>
  <si>
    <t>Heat shock proteins + endothelial conditioning</t>
  </si>
  <si>
    <t>Hydrate ~500 mL before</t>
  </si>
  <si>
    <t>Cool down</t>
  </si>
  <si>
    <t>Passive — cool room/shower</t>
  </si>
  <si>
    <t>Avoid ice plunge immediately after if cardiovascular risk</t>
  </si>
  <si>
    <t>Allow HR to normalize</t>
  </si>
  <si>
    <t>Slow transition</t>
  </si>
  <si>
    <t>Avoid</t>
  </si>
  <si>
    <t>Alcohol before / during</t>
  </si>
  <si>
    <t>Alcohol + heat = severe BP swings, arrhythmia risk</t>
  </si>
  <si>
    <t>Also avoid if febrile illness</t>
  </si>
  <si>
    <t>COLD EXPOSURE — SOBERG 2021 PROTOCOL</t>
  </si>
  <si>
    <t>Total weekly dose</t>
  </si>
  <si>
    <t>11 min cold time per week</t>
  </si>
  <si>
    <t>2–3 sessions × 2–4 min OR 1 longer session</t>
  </si>
  <si>
    <t>Soberg 2021 Cell Reports Medicine: metabolic benefits at this dose</t>
  </si>
  <si>
    <t>Not for severe CV disease, Raynaud's, cold urticaria</t>
  </si>
  <si>
    <t>≤15°C (60°F)</t>
  </si>
  <si>
    <t>Cold shower, cold tub, or natural cold water</t>
  </si>
  <si>
    <t>Brown fat activation, NE 200–500%, mood elevation</t>
  </si>
  <si>
    <t>Never alone if open water</t>
  </si>
  <si>
    <t>Timing vs training</t>
  </si>
  <si>
    <t>NOT within 4h of strength training</t>
  </si>
  <si>
    <t>Cold blunts hypertrophy adaptations</t>
  </si>
  <si>
    <t>Reduces mTOR signaling post-workout</t>
  </si>
  <si>
    <t>ROBERTS-2015</t>
  </si>
  <si>
    <t>OK after cardio</t>
  </si>
  <si>
    <t>Breathing</t>
  </si>
  <si>
    <t>Slow nasal breathing during</t>
  </si>
  <si>
    <t>Resist gasping reflex</t>
  </si>
  <si>
    <t>Trains stress response (interoception)</t>
  </si>
  <si>
    <t>Exit if shivering uncontrolled</t>
  </si>
  <si>
    <t>Build gradually</t>
  </si>
  <si>
    <t>30 sec → 1 min → 2 min → 4 min over 4 weeks</t>
  </si>
  <si>
    <t>Cold shower easiest entry point</t>
  </si>
  <si>
    <t>Adaptation prevents cardiovascular surge</t>
  </si>
  <si>
    <t>Stop if chest pain or arrhythmia sensation</t>
  </si>
  <si>
    <t>8-WEEK HEAT/COLD LOG</t>
  </si>
  <si>
    <t>Sauna sessions</t>
  </si>
  <si>
    <t>Sauna min total</t>
  </si>
  <si>
    <t>Cold sessions</t>
  </si>
  <si>
    <t>Cold min total</t>
  </si>
  <si>
    <t>Week 3</t>
  </si>
  <si>
    <t>Week 4</t>
  </si>
  <si>
    <t>Week 5</t>
  </si>
  <si>
    <t>Week 6</t>
  </si>
  <si>
    <t>Week 7</t>
  </si>
  <si>
    <t>Week 8</t>
  </si>
  <si>
    <t>Cognitive + Social Health — Lancet 2024 Framework</t>
  </si>
  <si>
    <t>Lancet Dementia Commission 2024: 14 modifiable risk factors = ~45% of dementia risk. Manage what's in your control.</t>
  </si>
  <si>
    <t>DAILY COGNITIVE MENU (pick 1–2 per day, vary across week)</t>
  </si>
  <si>
    <t>Activity</t>
  </si>
  <si>
    <t>Mechanism</t>
  </si>
  <si>
    <t>Effortful learning</t>
  </si>
  <si>
    <t>Builds cognitive reserve via dendritic branching + synaptic density</t>
  </si>
  <si>
    <t>Language (Duolingo, tutor) · instrument · complex skill (chess, programming)</t>
  </si>
  <si>
    <t>NIA-COG</t>
  </si>
  <si>
    <t>Reading (long-form)</t>
  </si>
  <si>
    <t>30+ min</t>
  </si>
  <si>
    <t>Sustained attention; verbal working memory</t>
  </si>
  <si>
    <t>Books &gt; articles. Fiction trains theory of mind.</t>
  </si>
  <si>
    <t>Writing / journaling</t>
  </si>
  <si>
    <t>Executive function; emotional regulation</t>
  </si>
  <si>
    <t>Morning pages · gratitude journal · structured reflection</t>
  </si>
  <si>
    <t>Music — listen + play</t>
  </si>
  <si>
    <t>Cross-hemispheric integration; mood regulation</t>
  </si>
  <si>
    <t>Play instrument · sing · attentive listening (not background)</t>
  </si>
  <si>
    <t>Movement + cognition</t>
  </si>
  <si>
    <t>2×/wk</t>
  </si>
  <si>
    <t>BDNF release; hippocampal volume increase</t>
  </si>
  <si>
    <t>Dance · martial arts · sports requiring decision-making</t>
  </si>
  <si>
    <t>Novelty / travel</t>
  </si>
  <si>
    <t>Monthly</t>
  </si>
  <si>
    <t>Hippocampal engagement; pattern-separation</t>
  </si>
  <si>
    <t>New restaurant · new route home · weekend trip</t>
  </si>
  <si>
    <t>Meditation / breathwork</t>
  </si>
  <si>
    <t>10–20 min daily</t>
  </si>
  <si>
    <t>Attentional control; default-mode network modulation</t>
  </si>
  <si>
    <t>Vipassana · breath counting · body scan</t>
  </si>
  <si>
    <t>WEEKLY SOCIAL RHYTHM (Holt-Lunstad 2010: isolation = risk of smoking 15 cig/day)</t>
  </si>
  <si>
    <t>Contact type</t>
  </si>
  <si>
    <t>Frequency target</t>
  </si>
  <si>
    <t>In-person contact</t>
  </si>
  <si>
    <t>≥2×/week</t>
  </si>
  <si>
    <t>Strongest mortality protection of any social factor</t>
  </si>
  <si>
    <t>Coffee · meal · walk · shared activity</t>
  </si>
  <si>
    <t>HOLT-LUNSTAD-2010</t>
  </si>
  <si>
    <t>Deep conversation</t>
  </si>
  <si>
    <t>≥1×/week</t>
  </si>
  <si>
    <t>Cognitive engagement + emotional regulation</t>
  </si>
  <si>
    <t>Friend or family, no surface chitchat</t>
  </si>
  <si>
    <t>Phone/video calls</t>
  </si>
  <si>
    <t>Maintains relationships across distance</t>
  </si>
  <si>
    <t>Family, longtime friends, mentees</t>
  </si>
  <si>
    <t>Group/community</t>
  </si>
  <si>
    <t>Belonging, purpose, structure</t>
  </si>
  <si>
    <t>Club · volunteering · religious community · class</t>
  </si>
  <si>
    <t>Mentoring/teaching</t>
  </si>
  <si>
    <t>Purpose; gives away knowledge</t>
  </si>
  <si>
    <t>Mentor someone younger; teach a skill</t>
  </si>
  <si>
    <t>Novel social contact</t>
  </si>
  <si>
    <t>New connections build cognitive flexibility</t>
  </si>
  <si>
    <t>Strike up conversation with someone new</t>
  </si>
  <si>
    <t>LANCET 2024 — 14 MODIFIABLE DEMENTIA RISK FACTORS (~45% attributable risk)</t>
  </si>
  <si>
    <t>Risk factor</t>
  </si>
  <si>
    <t>Your status (✓/⚠)</t>
  </si>
  <si>
    <t>Action lever</t>
  </si>
  <si>
    <t>Where in this workbook</t>
  </si>
  <si>
    <t>Less education (early life)</t>
  </si>
  <si>
    <t>Cognitive engagement now compensates</t>
  </si>
  <si>
    <t>13_Cognitive_Social — daily learning</t>
  </si>
  <si>
    <t>LANCET-2024</t>
  </si>
  <si>
    <t>Hearing loss (midlife)</t>
  </si>
  <si>
    <t>Hearing test + hearing aids if needed (ACHIEVE-2023: cuts decline 48%)</t>
  </si>
  <si>
    <t>11_Screenings_Safety — hearing test</t>
  </si>
  <si>
    <t>High LDL cholesterol</t>
  </si>
  <si>
    <t>ApoB &lt;80 (longevity-optimal)</t>
  </si>
  <si>
    <t>10_Blood_Markers — ApoB</t>
  </si>
  <si>
    <t>LANCET-2024 · MARSTON-2022</t>
  </si>
  <si>
    <t>Depression</t>
  </si>
  <si>
    <t>Treatment; therapy; SSRIs as needed</t>
  </si>
  <si>
    <t>Discuss with PCP/psychiatrist</t>
  </si>
  <si>
    <t>Traumatic brain injury</t>
  </si>
  <si>
    <t>Helmets, fall prevention</t>
  </si>
  <si>
    <t>07_Exercise_Library — balance</t>
  </si>
  <si>
    <t>Physical inactivity</t>
  </si>
  <si>
    <t>150–300 min/wk Z2 + 2–3 strength</t>
  </si>
  <si>
    <t>06_Weekly_Plan</t>
  </si>
  <si>
    <t>LANCET-2024 · CDC-ACT</t>
  </si>
  <si>
    <t>Diabetes</t>
  </si>
  <si>
    <t>HbA1c &lt;5.4 (longevity-optimal)</t>
  </si>
  <si>
    <t>10_Blood_Markers — HbA1c</t>
  </si>
  <si>
    <t>Smoking</t>
  </si>
  <si>
    <t>Quit (any cessation reduces risk)</t>
  </si>
  <si>
    <t>Discuss with PCP</t>
  </si>
  <si>
    <t>Hypertension</t>
  </si>
  <si>
    <t>SBP &lt;120 (SPRINT)</t>
  </si>
  <si>
    <t>10_Blood_Markers — BP</t>
  </si>
  <si>
    <t>LANCET-2024 · SPRINT-2015</t>
  </si>
  <si>
    <t>Obesity</t>
  </si>
  <si>
    <t>Healthy body composition; resistance training</t>
  </si>
  <si>
    <t>06_Weekly_Plan + 08_Nutrition</t>
  </si>
  <si>
    <t>Excessive alcohol</t>
  </si>
  <si>
    <t>08_Nutrition — alcohol</t>
  </si>
  <si>
    <t>Social isolation</t>
  </si>
  <si>
    <t>≥2 in-person contacts/wk + deep conversation</t>
  </si>
  <si>
    <t>This sheet — social rhythm</t>
  </si>
  <si>
    <t>LANCET-2024 · HOLT-LUNSTAD-2010</t>
  </si>
  <si>
    <t>Air pollution</t>
  </si>
  <si>
    <t>HEPA filters; avoid wildfire smoke; mask when AQI high</t>
  </si>
  <si>
    <t>Environmental — see below</t>
  </si>
  <si>
    <t>Untreated vision loss</t>
  </si>
  <si>
    <t>Annual eye exam; cataract surgery when indicated</t>
  </si>
  <si>
    <t>11_Screenings_Safety — eye exam</t>
  </si>
  <si>
    <t>ENVIRONMENTAL &amp; BEHAVIORAL FACTORS</t>
  </si>
  <si>
    <t>Factor</t>
  </si>
  <si>
    <t>Air quality (indoor)</t>
  </si>
  <si>
    <t>PM2.5 &lt;12 µg/m³</t>
  </si>
  <si>
    <t>HEPA filter in bedroom; avoid combustion sources; ventilate cooking</t>
  </si>
  <si>
    <t>Air pollution is #11 Lancet 2024 risk factor for dementia</t>
  </si>
  <si>
    <t>Air quality (outdoor)</t>
  </si>
  <si>
    <t>Avoid AQI &gt;100</t>
  </si>
  <si>
    <t>Check AirNow; N95 mask when wildfire smoke</t>
  </si>
  <si>
    <t>Acute spikes raise CV events; chronic exposure raises dementia risk</t>
  </si>
  <si>
    <t>Sunlight (vitamin D)</t>
  </si>
  <si>
    <t>10–20 min daily mid-day (skin-type dependent)</t>
  </si>
  <si>
    <t>Plus dietary D + supplement Oct–Apr in Minnesota</t>
  </si>
  <si>
    <t>Northern latitude has limited UVB Oct–Apr</t>
  </si>
  <si>
    <t>Purpose / meaning</t>
  </si>
  <si>
    <t>Daily sense of "why"</t>
  </si>
  <si>
    <t>Work, mentoring, family, creative project, volunteering</t>
  </si>
  <si>
    <t>Sense of purpose correlates with mortality and dementia delay</t>
  </si>
  <si>
    <t>BOYLE-2009</t>
  </si>
  <si>
    <t>Stress management</t>
  </si>
  <si>
    <t>Daily practice</t>
  </si>
  <si>
    <t>Meditation, breathwork, time in nature, journaling</t>
  </si>
  <si>
    <t>Chronic stress → cortisol → hippocampal atrophy</t>
  </si>
  <si>
    <t>12-WEEK COGNITIVE/SOCIAL LOG</t>
  </si>
  <si>
    <t>Learning min</t>
  </si>
  <si>
    <t>In-person contacts</t>
  </si>
  <si>
    <t>Deep conversations</t>
  </si>
  <si>
    <t>Week 9</t>
  </si>
  <si>
    <t>Week 10</t>
  </si>
  <si>
    <t>Week 11</t>
  </si>
  <si>
    <t>Week 12</t>
  </si>
  <si>
    <t>Dashboard — At-a-Glance</t>
  </si>
  <si>
    <t>Live snapshot from 01_Personal_Settings + key markers. Use weekly for orientation.</t>
  </si>
  <si>
    <t>PERSONAL SNAPSHOT</t>
  </si>
  <si>
    <t>Age</t>
  </si>
  <si>
    <t>years</t>
  </si>
  <si>
    <t>Weight</t>
  </si>
  <si>
    <t>kg</t>
  </si>
  <si>
    <t>Resting HR</t>
  </si>
  <si>
    <t>bpm</t>
  </si>
  <si>
    <t>VO2 max</t>
  </si>
  <si>
    <t>mL/kg/min</t>
  </si>
  <si>
    <t>kg (target ≥40 M / ≥27 F)</t>
  </si>
  <si>
    <t>TODAY'S LIVE TARGETS (auto from 01_Personal_Settings)</t>
  </si>
  <si>
    <t>Protein target</t>
  </si>
  <si>
    <t>Per meal protein</t>
  </si>
  <si>
    <t>g (leucine threshold)</t>
  </si>
  <si>
    <t>L/day</t>
  </si>
  <si>
    <t>Max heart rate</t>
  </si>
  <si>
    <t>bpm (208 − 0.7×age)</t>
  </si>
  <si>
    <t>Zone 2 target HR</t>
  </si>
  <si>
    <t>bpm (70% max)</t>
  </si>
  <si>
    <t>VO2 interval HR</t>
  </si>
  <si>
    <t>bpm (90% max — Norwegian 4×4)</t>
  </si>
  <si>
    <t>WEEKLY MINIMUMS — see 06_Weekly_Plan</t>
  </si>
  <si>
    <t>Source</t>
  </si>
  <si>
    <t>Zone 2 cardio</t>
  </si>
  <si>
    <t>150–300 min moderate</t>
  </si>
  <si>
    <t>VO2 max session</t>
  </si>
  <si>
    <t>WISLOFF-2007</t>
  </si>
  <si>
    <t>Strength</t>
  </si>
  <si>
    <t>2–3 sessions full body</t>
  </si>
  <si>
    <t>Sauna</t>
  </si>
  <si>
    <t>4×/week × 20+ min</t>
  </si>
  <si>
    <t>Sleep</t>
  </si>
  <si>
    <t>≥7 hr nightly opportunity</t>
  </si>
  <si>
    <t>Cognitive</t>
  </si>
  <si>
    <t>30–60 min daily learning</t>
  </si>
  <si>
    <t>Social</t>
  </si>
  <si>
    <t>≥2 in-person + 1 deep conversation</t>
  </si>
  <si>
    <t>12-MONTH TREND LOG (fill at start of each month)</t>
  </si>
  <si>
    <t>Month</t>
  </si>
  <si>
    <t>Notes / training focus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</si>
  <si>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</si>
  <si>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</si>
  <si>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</si>
  <si>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</si>
  <si>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</si>
  <si>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</si>
  <si>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</si>
  <si>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</si>
  <si>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</si>
  <si>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</si>
  <si>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</si>
  <si>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</si>
  <si>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QUICK NAVIGATION</t>
  </si>
  <si>
    <t>When: Morning routine</t>
  </si>
  <si>
    <t>When: Workout today</t>
  </si>
  <si>
    <t>When: Looking up an exercise</t>
  </si>
  <si>
    <t>When: Adjusting supplements after labs</t>
  </si>
  <si>
    <t>→ 09_Supplements + 10_Blood_Markers</t>
  </si>
  <si>
    <t>When: Booking a screening</t>
  </si>
  <si>
    <t>When: Understanding why</t>
  </si>
  <si>
    <t>When: Citing a source</t>
  </si>
  <si>
    <t>CURRENT TRAINING PRIORITY</t>
  </si>
  <si>
    <t>Upper back first</t>
  </si>
  <si>
    <t>Rows, face pulls, wall slides</t>
  </si>
  <si>
    <t>3×/week</t>
  </si>
  <si>
    <t>See 06 + 07</t>
  </si>
  <si>
    <t>Core/bracing second</t>
  </si>
  <si>
    <t>Dead bug, bird dog, side plank, carries</t>
  </si>
  <si>
    <t>Progress slowly</t>
  </si>
  <si>
    <t>Then whole body</t>
  </si>
  <si>
    <t>Squat/hinge/push/carry/cardio/balance</t>
  </si>
  <si>
    <t>As planned</t>
  </si>
  <si>
    <t>Do not skip warm-up/cool-down</t>
  </si>
  <si>
    <t>4</t>
  </si>
  <si>
    <t>Week 1 easy → Week 2 add one variable only</t>
  </si>
  <si>
    <t>See 16_Progression_Weeks</t>
  </si>
  <si>
    <t>Sources — Citation Directory</t>
  </si>
  <si>
    <t>Every "Source key" used throughout this workbook resolves here. Practice guidelines first, then research papers.</t>
  </si>
  <si>
    <t>PRACTICE GUIDELINES (US authoritative bodies)</t>
  </si>
  <si>
    <t>Body / topic</t>
  </si>
  <si>
    <t>What it covers</t>
  </si>
  <si>
    <t>CDC Physical Activity for Older Adults</t>
  </si>
  <si>
    <t>150–300 min/wk moderate + 2 strength + balance daily</t>
  </si>
  <si>
    <t>Open link ↗</t>
  </si>
  <si>
    <t>CDC Sleep Health</t>
  </si>
  <si>
    <t>≥7 hr adults; apnea screen if snoring + daytime sleepiness</t>
  </si>
  <si>
    <t>CDC Adult Immunization Schedule</t>
  </si>
  <si>
    <t>Flu, COVID, shingles, pneumococcal, RSV, Td/Tdap</t>
  </si>
  <si>
    <t>CDC Travel Vaccines</t>
  </si>
  <si>
    <t>Destination-specific recommendations</t>
  </si>
  <si>
    <t>Dietary Guidelines for Americans</t>
  </si>
  <si>
    <t>Whole-food, plant-forward; limit added sugar, sodium, saturated fat</t>
  </si>
  <si>
    <t>AHA Life's Essential 8</t>
  </si>
  <si>
    <t>Diet, activity, nicotine, sleep, weight, cholesterol, glucose, BP</t>
  </si>
  <si>
    <t>AHA/ACC Coronary Artery Calcium</t>
  </si>
  <si>
    <t>CAC scoring for intermediate-risk patients</t>
  </si>
  <si>
    <t>USPSTF Colorectal Screening</t>
  </si>
  <si>
    <t>Adults 45–75; method choice</t>
  </si>
  <si>
    <t>USPSTF Lung Cancer LDCT</t>
  </si>
  <si>
    <t>Ages 50–80, 20 pack-year history</t>
  </si>
  <si>
    <t>USPSTF PSA Screening</t>
  </si>
  <si>
    <t>Men 55–69, shared decision</t>
  </si>
  <si>
    <t>USPSTF Breast Cancer Screening</t>
  </si>
  <si>
    <t>Women 40–74 biennial</t>
  </si>
  <si>
    <t>USPSTF Cervical Cancer Screening</t>
  </si>
  <si>
    <t>Women until 65 if normal history</t>
  </si>
  <si>
    <t>USPSTF-SKIN</t>
  </si>
  <si>
    <t>USPSTF Skin Cancer Counseling</t>
  </si>
  <si>
    <t>Counseling for skin protection</t>
  </si>
  <si>
    <t>USPSTF Osteoporosis Screening</t>
  </si>
  <si>
    <t>Women ≥65; men risk-based</t>
  </si>
  <si>
    <t>USPSTF AAA Screening</t>
  </si>
  <si>
    <t>Men 65–75 who ever smoked — one-time</t>
  </si>
  <si>
    <t>USPSTF Aspirin Primary Prevention</t>
  </si>
  <si>
    <t>2022 update: NOT routine ≥60 (bleeding risk)</t>
  </si>
  <si>
    <t>USPSTF-B12</t>
  </si>
  <si>
    <t>USPSTF B12 Considerations</t>
  </si>
  <si>
    <t>Older adults, metformin, PPI users</t>
  </si>
  <si>
    <t>USPSTF-LIPIDS</t>
  </si>
  <si>
    <t>USPSTF Statin Primary Prevention</t>
  </si>
  <si>
    <t>ASCVD risk-based</t>
  </si>
  <si>
    <t>American Academy of Dermatology</t>
  </si>
  <si>
    <t>Annual skin checks 50+</t>
  </si>
  <si>
    <t>American Academy of Ophthalmology</t>
  </si>
  <si>
    <t>Adult eye exam frequency</t>
  </si>
  <si>
    <t>American Dental Association</t>
  </si>
  <si>
    <t>Twice-yearly cleaning</t>
  </si>
  <si>
    <t>NIH Office of Dietary Supplements — Vitamin D</t>
  </si>
  <si>
    <t>Doses, deficiency, upper limit</t>
  </si>
  <si>
    <t>NIH ODS — Vitamin B12</t>
  </si>
  <si>
    <t>Absorption in older adults</t>
  </si>
  <si>
    <t>NIH-ODS-OMEGA</t>
  </si>
  <si>
    <t>NIH ODS — Omega-3</t>
  </si>
  <si>
    <t>Sources, dosing, safety</t>
  </si>
  <si>
    <t>NIH ODS — Iron</t>
  </si>
  <si>
    <t>Why men rarely need supplementation</t>
  </si>
  <si>
    <t>NIH ODS — Folate</t>
  </si>
  <si>
    <t>B-vitamin family</t>
  </si>
  <si>
    <t>NIA Cognitive Health</t>
  </si>
  <si>
    <t>Activity, sleep, BP, social, learning</t>
  </si>
  <si>
    <t>RESEARCH PAPERS (peer-reviewed)</t>
  </si>
  <si>
    <t>Citation</t>
  </si>
  <si>
    <t>Key finding</t>
  </si>
  <si>
    <t>Used in this workbook</t>
  </si>
  <si>
    <t>ATTIA-4P</t>
  </si>
  <si>
    <t>Attia P. Outlive. Penguin 2023.</t>
  </si>
  <si>
    <t>Four pillars of exercise: stability, strength, Zone 2, VO2 max</t>
  </si>
  <si>
    <t>Training architecture</t>
  </si>
  <si>
    <t>Laukkanen et al. JAMA Intern Med 2015.</t>
  </si>
  <si>
    <t>Finnish cohort n=2315, 20 yr: sauna 4–7×/wk = 50% lower CV death, 40% lower all-cause death</t>
  </si>
  <si>
    <t>Sauna protocol</t>
  </si>
  <si>
    <t>Wisloff et al. Circulation 2007.</t>
  </si>
  <si>
    <t>Norwegian 4×4 raises VO2 max ~10% in 8 weeks</t>
  </si>
  <si>
    <t>VO2 max protocol</t>
  </si>
  <si>
    <t>MANDSAGER-2018</t>
  </si>
  <si>
    <t>Mandsager et al. JAMA Netw Open 2018.</t>
  </si>
  <si>
    <t>VO2 max is the strongest single mortality predictor in healthy adults</t>
  </si>
  <si>
    <t>Why VO2 max matters</t>
  </si>
  <si>
    <t>LEONG-2015</t>
  </si>
  <si>
    <t>Leong et al. Lancet 2015 (PURE study).</t>
  </si>
  <si>
    <t>Each 5 kg drop in grip strength = 16% higher mortality</t>
  </si>
  <si>
    <t>Grip strength training rationale</t>
  </si>
  <si>
    <t>Søberg et al. Cell Reports Medicine 2021.</t>
  </si>
  <si>
    <t>11 min/wk cold exposure shows metabolic benefits</t>
  </si>
  <si>
    <t>Cold exposure dose</t>
  </si>
  <si>
    <t>Kreider et al. JISSN 2017 (Position Stand).</t>
  </si>
  <si>
    <t>5 g/day creatine: muscle, strength, cognition; safe at this dose</t>
  </si>
  <si>
    <t>Creatine protocol</t>
  </si>
  <si>
    <t>Harris et al. J Clin Lipidol 2017.</t>
  </si>
  <si>
    <t>Omega-3 index &gt;8% protective; &lt;4% high CV risk</t>
  </si>
  <si>
    <t>Omega-3 target</t>
  </si>
  <si>
    <t>MASON-2022</t>
  </si>
  <si>
    <t>Mason et al. Mayo Clin Proc 2022.</t>
  </si>
  <si>
    <t>EPA + DHA reduces CV events</t>
  </si>
  <si>
    <t>Omega-3 evidence</t>
  </si>
  <si>
    <t>Brum et al. Am J Clin Nutr 2018 (meta).</t>
  </si>
  <si>
    <t>Psyllium ~7% LDL reduction across 28 RCTs</t>
  </si>
  <si>
    <t>Psyllium evidence</t>
  </si>
  <si>
    <t>Daily et al. J Med Food 2016 (meta).</t>
  </si>
  <si>
    <t>Curcumin: anti-inflammatory, modest joint benefit</t>
  </si>
  <si>
    <t>Curcumin evidence</t>
  </si>
  <si>
    <t>Mansson et al. 2024 (meta-analysis).</t>
  </si>
  <si>
    <t>Vitamin D: bone, mortality benefit when supplementing deficient</t>
  </si>
  <si>
    <t>Vitamin D evidence</t>
  </si>
  <si>
    <t>Lindenbaum et al. Am J Clin Nutr 1994.</t>
  </si>
  <si>
    <t>B12 absorption falls with age; subclinical deficiency common</t>
  </si>
  <si>
    <t>B12 in older adults</t>
  </si>
  <si>
    <t>BOYLE-2017</t>
  </si>
  <si>
    <t>Boyle et al. Nutrients 2017.</t>
  </si>
  <si>
    <t>Magnesium glycinate for sleep, anxiety, muscle</t>
  </si>
  <si>
    <t>Magnesium form choice</t>
  </si>
  <si>
    <t>SLUTSKY-2010</t>
  </si>
  <si>
    <t>Slutsky et al. Neuron 2010.</t>
  </si>
  <si>
    <t>Magnesium threonate elevates brain Mg; cognition</t>
  </si>
  <si>
    <t>Magnesium-threonate evidence</t>
  </si>
  <si>
    <t>Mortensen et al. JACC Heart Fail 2014 (Q-SYMBIO).</t>
  </si>
  <si>
    <t>CoQ10 in heart failure; reduces mortality</t>
  </si>
  <si>
    <t>CoQ10 evidence (statin/HF)</t>
  </si>
  <si>
    <t>Morton et al. Br J Sports Med 2018 (meta).</t>
  </si>
  <si>
    <t>Protein supplementation augments strength training gains</t>
  </si>
  <si>
    <t>Protein dose</t>
  </si>
  <si>
    <t>MITCHELL-2017</t>
  </si>
  <si>
    <t>Mitchell et al. Am J Clin Nutr 2017.</t>
  </si>
  <si>
    <t>1.6 g/kg/day protein supports muscle protein synthesis in training older adults</t>
  </si>
  <si>
    <t>SAN-MILLAN-2018</t>
  </si>
  <si>
    <t>San-Millán &amp; Brooks. Sports Med 2018.</t>
  </si>
  <si>
    <t>Zone 2 training builds mitochondrial density + fat oxidation</t>
  </si>
  <si>
    <t>Zone 2 rationale</t>
  </si>
  <si>
    <t>FIATARONE-1994</t>
  </si>
  <si>
    <t>Fiatarone et al. NEJM 1994.</t>
  </si>
  <si>
    <t>Resistance training reverses frailty in 87–96 yr olds</t>
  </si>
  <si>
    <t>It is never too late</t>
  </si>
  <si>
    <t>COCHRANE-2019</t>
  </si>
  <si>
    <t>Sherrington et al. Cochrane 2019.</t>
  </si>
  <si>
    <t>Balance training reduces falls ~25%</t>
  </si>
  <si>
    <t>Fall prevention</t>
  </si>
  <si>
    <t>PHYSICAL-FRAILTY-2013</t>
  </si>
  <si>
    <t>Cesari et al. J Am Med Dir Assoc 2013.</t>
  </si>
  <si>
    <t>Physical performance tests predict mortality</t>
  </si>
  <si>
    <t>Functional testing</t>
  </si>
  <si>
    <t>Estruch et al. NEJM 2018 (re-analysis).</t>
  </si>
  <si>
    <t>Mediterranean diet + EVOO/nuts cuts cardiac events ~30%</t>
  </si>
  <si>
    <t>PURE-2017</t>
  </si>
  <si>
    <t>Dehghan et al. Lancet 2017 (PURE).</t>
  </si>
  <si>
    <t>Legume + whole grain intake → lower mortality</t>
  </si>
  <si>
    <t>Whole grain + legume target</t>
  </si>
  <si>
    <t>REYNOLDS-2019</t>
  </si>
  <si>
    <t>Reynolds et al. Lancet 2019 (review).</t>
  </si>
  <si>
    <t>Fiber intake → cardiometabolic + cancer protection</t>
  </si>
  <si>
    <t>Petersen et al. Diabetologia 2018.</t>
  </si>
  <si>
    <t>Fasting insulin: earliest IR marker</t>
  </si>
  <si>
    <t>Fasting insulin in panel</t>
  </si>
  <si>
    <t>Marston et al. JAMA Cardiol 2022.</t>
  </si>
  <si>
    <t>ApoB is the single best lipid risk marker</t>
  </si>
  <si>
    <t>ApoB as primary lipid target</t>
  </si>
  <si>
    <t>Tsimikas. JACC 2017.</t>
  </si>
  <si>
    <t>Lp(a) is independent genetic CV risk factor</t>
  </si>
  <si>
    <t>Lp(a) measured once</t>
  </si>
  <si>
    <t>SPRINT Research Group. NEJM 2015.</t>
  </si>
  <si>
    <t>Intensive BP target &lt;120 reduces mortality</t>
  </si>
  <si>
    <t>BP target</t>
  </si>
  <si>
    <t>Ridker. NEJM 2002.</t>
  </si>
  <si>
    <t>hs-CRP independent predictor of CV events</t>
  </si>
  <si>
    <t>hs-CRP in panel</t>
  </si>
  <si>
    <t>Connelly et al. Atherosclerosis 2017.</t>
  </si>
  <si>
    <t>GlycA — newer inflammation marker</t>
  </si>
  <si>
    <t>GlycA in panel (advanced)</t>
  </si>
  <si>
    <t>Smith et al. Lancet Neurol 2018.</t>
  </si>
  <si>
    <t>Homocysteine + B-vitamins; dementia link</t>
  </si>
  <si>
    <t>Homocysteine in panel</t>
  </si>
  <si>
    <t>Inker et al. NEJM 2021.</t>
  </si>
  <si>
    <t>Cystatin C eGFR more accurate than creatinine</t>
  </si>
  <si>
    <t>eGFR (cystatin C) in panel</t>
  </si>
  <si>
    <t>Kwo et al. Am J Gastroenterol 2017.</t>
  </si>
  <si>
    <t>Lower ALT cutoffs better identify NAFLD</t>
  </si>
  <si>
    <t>ALT optimal range</t>
  </si>
  <si>
    <t>Whitfield. Crit Rev Clin Lab Sci 2001.</t>
  </si>
  <si>
    <t>GGT marker for oxidative stress + alcohol</t>
  </si>
  <si>
    <t>GGT in panel</t>
  </si>
  <si>
    <t>Bahn et al. Endocr Pract 2011.</t>
  </si>
  <si>
    <t>TSH 0.5–2.5 narrow range for healthy thyroid</t>
  </si>
  <si>
    <t>TSH optimal range</t>
  </si>
  <si>
    <t>Bhasin et al. JCEM 2018 (Endocrine Society).</t>
  </si>
  <si>
    <t>Testosterone therapy only for hypogonadism</t>
  </si>
  <si>
    <t>Hormones cautious use</t>
  </si>
  <si>
    <t>Baulieu et al. PNAS 2000.</t>
  </si>
  <si>
    <t>DHEA decline with age; controversial replacement</t>
  </si>
  <si>
    <t>DHEA-S context</t>
  </si>
  <si>
    <t>Junnila et al. Nat Rev Endocrinol 2013.</t>
  </si>
  <si>
    <t>IGF-1 — growth vs longevity trade-off</t>
  </si>
  <si>
    <t>IGF-1 in panel</t>
  </si>
  <si>
    <t>Workinger et al. Nutrients 2018.</t>
  </si>
  <si>
    <t>RBC magnesium more accurate than serum</t>
  </si>
  <si>
    <t>Magnesium test choice</t>
  </si>
  <si>
    <t>Patel et al. Arch Intern Med 2010.</t>
  </si>
  <si>
    <t>RDW predicts mortality in older adults</t>
  </si>
  <si>
    <t>RDW in panel</t>
  </si>
  <si>
    <t>Prasad. Adv Nutr 2014.</t>
  </si>
  <si>
    <t>Zinc: immunity, taste, wound healing</t>
  </si>
  <si>
    <t>Zinc evidence</t>
  </si>
  <si>
    <t>SALVE-2019</t>
  </si>
  <si>
    <t>Salve et al. Cureus 2019.</t>
  </si>
  <si>
    <t>Ashwagandha + stress reduction</t>
  </si>
  <si>
    <t>Ashwagandha evidence</t>
  </si>
  <si>
    <t>LOPRESTI-2019</t>
  </si>
  <si>
    <t>Lopresti et al. Medicine 2019.</t>
  </si>
  <si>
    <t>Ashwagandha + sleep, anxiety</t>
  </si>
  <si>
    <t>Yoshino et al. Science 2021.</t>
  </si>
  <si>
    <t>NMN raises NAD+; longevity unproven in humans</t>
  </si>
  <si>
    <t>NMN context</t>
  </si>
  <si>
    <t>Berman et al. Aging Cell 2017.</t>
  </si>
  <si>
    <t>Resveratrol — sirtuin activator in vitro; human trials weak</t>
  </si>
  <si>
    <t>Resveratrol context</t>
  </si>
  <si>
    <t>Inagawa et al. Sleep Biol Rhythms 2006.</t>
  </si>
  <si>
    <t>Glycine 3g pre-bed improves sleep</t>
  </si>
  <si>
    <t>Glycine evidence</t>
  </si>
  <si>
    <t>Johnson et al. Endocrinology 2013.</t>
  </si>
  <si>
    <t>Uric acid linked to fructose, CV risk</t>
  </si>
  <si>
    <t>Uric acid in panel</t>
  </si>
  <si>
    <t>Boyle et al. Arch Gen Psychiatry 2009.</t>
  </si>
  <si>
    <t>Purpose in life correlates with longevity</t>
  </si>
  <si>
    <t>Purpose / environmental</t>
  </si>
  <si>
    <t>Livingston et al. Lancet 2024 (Dementia Commission).</t>
  </si>
  <si>
    <t>14 modifiable factors = ~45% attributable dementia risk</t>
  </si>
  <si>
    <t>Cognitive section + 14-factor checklist</t>
  </si>
  <si>
    <t>ACHIEVE-2023</t>
  </si>
  <si>
    <t>Lin et al. Lancet 2023 (ACHIEVE).</t>
  </si>
  <si>
    <t>Hearing aids reduce cognitive decline 48% in at-risk older adults</t>
  </si>
  <si>
    <t>Hearing test + aids</t>
  </si>
  <si>
    <t>Eyting et al. Nature 2024.</t>
  </si>
  <si>
    <t>Shingles vaccine reduces dementia ~20% over 7 yr</t>
  </si>
  <si>
    <t>Shingles vaccine rationale</t>
  </si>
  <si>
    <t>Holt-Lunstad et al. PLoS Med 2010 (meta).</t>
  </si>
  <si>
    <t>Social isolation mortality risk ≈ smoking 15 cig/day</t>
  </si>
  <si>
    <t>Social health priority</t>
  </si>
  <si>
    <t>Walker M. Why We Sleep. Scribner 2017.</t>
  </si>
  <si>
    <t>Sleep quantity-quality-regularity framework</t>
  </si>
  <si>
    <t>Sleep architecture</t>
  </si>
  <si>
    <t>Mansson et al. 2024.</t>
  </si>
  <si>
    <t>Sleep regularity outranks duration for cardio outcomes</t>
  </si>
  <si>
    <t>Sleep regularity</t>
  </si>
  <si>
    <t>Liao et al. 2025 (meta).</t>
  </si>
  <si>
    <t>Warm bath/footbath 1–2h pre-bed: +9 min sleep, +14% efficiency</t>
  </si>
  <si>
    <t>Sleep onset hack</t>
  </si>
  <si>
    <t>National Academies (formerly IOM). Dietary Reference Intakes 2005.</t>
  </si>
  <si>
    <t>~30 mL/kg/day hydration baseline</t>
  </si>
  <si>
    <t>Roberts et al. J Physiol 2015.</t>
  </si>
  <si>
    <t>Cold immersion post-strength blunts hypertrophy</t>
  </si>
  <si>
    <t>Cold timing rule</t>
  </si>
  <si>
    <t>Partridge et al. Nat Aging 2020.</t>
  </si>
  <si>
    <t>Rapamycin/metformin longevity: ongoing trials, not yet practice standard</t>
  </si>
  <si>
    <t>Experimental drug context</t>
  </si>
  <si>
    <t>Liu et al. NEJM 2023 (PATHFINDER).</t>
  </si>
  <si>
    <t>MCED tests (Galleri): evidence building, not USPSTF-endorsed</t>
  </si>
  <si>
    <t>MCED screening context</t>
  </si>
  <si>
    <t>This workbook is an educational planning tool to structure conversations with your physician. It is not medical diagnosis or treatment. All training, supplement, and screening decisions for a 60+ year old should be reviewed with a clinician. "Longevity-optimal" target ranges are tighter than standard population norms — they are goals to discuss, not clinical decision thresholds. The author of this workbook is not your physician.</t>
  </si>
  <si>
    <t>NEW / RELEVANT SOURCES ADDED FOR THIS VERSION</t>
  </si>
  <si>
    <t>CDC older adult physical activity guidelines</t>
  </si>
  <si>
    <t>Adults 65+ need 150 min moderate activity, muscle strengthening, and balance work.</t>
  </si>
  <si>
    <t>https://www.cdc.gov/physical-activity-basics/guidelines/older-adults.html</t>
  </si>
  <si>
    <t>National Institute on Aging strength/exercise resources</t>
  </si>
  <si>
    <t>Strength, balance, flexibility, and endurance are core components for older adults.</t>
  </si>
  <si>
    <t>https://www.nia.nih.gov/health/exercise-and-physical-activity</t>
  </si>
  <si>
    <t>USPSTF falls prevention recommendation</t>
  </si>
  <si>
    <t>Exercise interventions help prevent falls in community-dwelling older adults at increased risk.</t>
  </si>
  <si>
    <t>https://www.uspreventiveservicestaskforce.org/uspstf/recommendation/falls-prevention-community-dwelling-older-adults-interventions</t>
  </si>
  <si>
    <t>AHA-LIFE8</t>
  </si>
  <si>
    <t>American Heart Association Life's Essential 8</t>
  </si>
  <si>
    <t>Health framework: diet, activity, nicotine avoidance, sleep, weight, cholesterol, glucose, blood pressure.</t>
  </si>
  <si>
    <t>https://www.heart.org/en/healthy-living/healthy-lifestyle/lifes-essential-8</t>
  </si>
  <si>
    <t>Protein needs in older adults review / position evidence</t>
  </si>
  <si>
    <t>Older adults often benefit from about 1.0–1.2 g/kg/day or higher with training unless contraindicated.</t>
  </si>
  <si>
    <t>https://pmc.ncbi.nlm.nih.gov/articles/PMC5952928/</t>
  </si>
  <si>
    <t>Progression Rules — Easy First Week, Then Increase Carefully</t>
  </si>
  <si>
    <t>This sheet prevents overdoing it. Progress only when pain, sleep, readiness, and technique are acceptable. Upper back + core remain the first block even as the rest of the body is trained.</t>
  </si>
  <si>
    <t>Week 1: easy start</t>
  </si>
  <si>
    <t>Week 2: small increase</t>
  </si>
  <si>
    <t>Week 3–4: continue only if ready</t>
  </si>
  <si>
    <t>Progress if</t>
  </si>
  <si>
    <t>Hold or reduce if</t>
  </si>
  <si>
    <t>8–10 min, RPE 2–3</t>
  </si>
  <si>
    <t>10 min, RPE 3–4</t>
  </si>
  <si>
    <t>Keep before every session</t>
  </si>
  <si>
    <t>Feels better after warm-up</t>
  </si>
  <si>
    <t>Dizziness, chest symptoms, pain spike</t>
  </si>
  <si>
    <t>Warm-up improves readiness and movement quality.</t>
  </si>
  <si>
    <t>Non-negotiable</t>
  </si>
  <si>
    <t>2 sets each: rows, face pulls, wall slides</t>
  </si>
  <si>
    <t>3 sets or stronger band</t>
  </si>
  <si>
    <t>3–4 sets, add load slowly</t>
  </si>
  <si>
    <t>No shoulder/neck pain; posture stays clean</t>
  </si>
  <si>
    <t>Shrugging, shoulder pinch, elbow pain</t>
  </si>
  <si>
    <t>Scapular strength supports shoulders and posture.</t>
  </si>
  <si>
    <t>Start strength days here</t>
  </si>
  <si>
    <t>Dead bug/bird dog/side plank 2 sets</t>
  </si>
  <si>
    <t>3 sets or +5–10 sec holds</t>
  </si>
  <si>
    <t>Add anti-rotation carry or Pallof press</t>
  </si>
  <si>
    <t>No back arch; can breathe while braced</t>
  </si>
  <si>
    <t>Back pain, breath-holding, shaking form</t>
  </si>
  <si>
    <t>Core control transfers to safer squats/hinges/carries.</t>
  </si>
  <si>
    <t>Quality over duration</t>
  </si>
  <si>
    <t>Chair squat/glute bridge 2 sets</t>
  </si>
  <si>
    <t>3 sets or light goblet/step-up</t>
  </si>
  <si>
    <t>Add RDL/lunge only if pain-free</t>
  </si>
  <si>
    <t>Knees/hips/back feel stable</t>
  </si>
  <si>
    <t>Joint pain &gt;3/10 or soreness &gt;48 hr</t>
  </si>
  <si>
    <t>Leg strength supports independence and fall resilience.</t>
  </si>
  <si>
    <t>After core activation</t>
  </si>
  <si>
    <t>Push/pull</t>
  </si>
  <si>
    <t>Incline push-up/pulldown 2 sets</t>
  </si>
  <si>
    <t>3 sets or harder angle</t>
  </si>
  <si>
    <t>Add overhead press only if shoulder-free</t>
  </si>
  <si>
    <t>Shoulder tracks well</t>
  </si>
  <si>
    <t>Shoulder pinch, neck tension</t>
  </si>
  <si>
    <t>Balanced upper-body strength improves function.</t>
  </si>
  <si>
    <t>Pulling volume can exceed pushing early</t>
  </si>
  <si>
    <t>Cardio Zone 2</t>
  </si>
  <si>
    <t>30–40 min or +10–15 weekly min</t>
  </si>
  <si>
    <t>Build toward 150+ min/week</t>
  </si>
  <si>
    <t>Can talk comfortably</t>
  </si>
  <si>
    <t>Excess fatigue, poor sleep, pain</t>
  </si>
  <si>
    <t>Aerobic base supports longevity and recovery.</t>
  </si>
  <si>
    <t>Do not turn all cardio hard</t>
  </si>
  <si>
    <t>3–5 min supported</t>
  </si>
  <si>
    <t>5–8 min, less support</t>
  </si>
  <si>
    <t>Add dynamic balance/walks</t>
  </si>
  <si>
    <t>Stable near support</t>
  </si>
  <si>
    <t>Dizziness/unsteadiness</t>
  </si>
  <si>
    <t>Balance practice helps reduce fall risk.</t>
  </si>
  <si>
    <t>Always near counter/wall</t>
  </si>
  <si>
    <t>5 min slow walk/breathing</t>
  </si>
  <si>
    <t>Breathing normalizes</t>
  </si>
  <si>
    <t>Lightheadedness persists</t>
  </si>
  <si>
    <t>Cool-down helps autonomic downshift and stiffness control.</t>
  </si>
  <si>
    <t>READINESS CHECK BEFORE PROGRESSION</t>
  </si>
  <si>
    <t>Question</t>
  </si>
  <si>
    <t>Green = progress</t>
  </si>
  <si>
    <t>Yellow = hold</t>
  </si>
  <si>
    <t>Red = reduce/stop</t>
  </si>
  <si>
    <t>Pain</t>
  </si>
  <si>
    <t>0–2/10</t>
  </si>
  <si>
    <t>3/10</t>
  </si>
  <si>
    <t>4+/10 or changes gait</t>
  </si>
  <si>
    <t>Green: progress one variable. Yellow: repeat. Red: reduce and seek clinician/PT if persistent.</t>
  </si>
  <si>
    <t>7+ hr, good quality</t>
  </si>
  <si>
    <t>6–7 hr or restless</t>
  </si>
  <si>
    <t>&lt;6 hr or very poor</t>
  </si>
  <si>
    <t>Sleep dictates recovery capacity.</t>
  </si>
  <si>
    <t>Technique</t>
  </si>
  <si>
    <t>Clean reps</t>
  </si>
  <si>
    <t>Minor form drift</t>
  </si>
  <si>
    <t>Cannot maintain bracing/posture</t>
  </si>
  <si>
    <t>Technique failure means the load is too high.</t>
  </si>
  <si>
    <t>Soreness</t>
  </si>
  <si>
    <t>Mild, &lt;24–48 hr</t>
  </si>
  <si>
    <t>Moderate &gt;48 hr</t>
  </si>
  <si>
    <t>Severe or joint-specific</t>
  </si>
  <si>
    <t>Muscle soreness is not the goal; function is.</t>
  </si>
  <si>
    <t>Pankaj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</si>
</sst>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4" x14ac:knownFonts="1">
    <font>
      <sz val="11"/>
      <color theme="1"/>
      <name val="Calibri"/>
    </font>
    <font>
      <b/>
      <sz val="16"/>
      <color rgb="FF1F3A5F"/>
      <name val="Calibri"/>
    </font>
    <font>
      <i/>
      <sz val="10"/>
      <color rgb="FF555555"/>
      <name val="Calibri"/>
    </font>
    <font>
      <sz val="10"/>
      <name val="Calibri"/>
    </font>
    <font>
      <b/>
      <sz val="12"/>
      <color rgb="FF1F3A5F"/>
      <name val="Calibri"/>
    </font>
    <font>
      <b/>
      <sz val="10"/>
      <name val="Calibri"/>
    </font>
    <font>
      <sz val="10"/>
      <color rgb="FF0000FF"/>
      <name val="Calibri"/>
    </font>
    <font>
      <sz val="10"/>
      <color rgb="FF000000"/>
      <name val="Calibri"/>
    </font>
    <font>
      <b/>
      <sz val="13"/>
      <color rgb="FF1F3A5F"/>
      <name val="Calibri"/>
    </font>
    <font>
      <b/>
      <sz val="11"/>
      <color rgb="FFFFFFFF"/>
      <name val="Calibri"/>
    </font>
    <font>
      <sz val="9"/>
      <color rgb="FF888888"/>
      <name val="Calibri"/>
    </font>
    <font>
      <sz val="10"/>
      <color rgb="FF008000"/>
      <name val="Calibri"/>
    </font>
    <font>
      <b/>
      <sz val="11"/>
      <color rgb="FFC00000"/>
      <name val="Calibri"/>
    </font>
    <font>
      <sz val="10"/>
      <color rgb="FFC00000"/>
      <name val="Calibri"/>
    </font>
    <font>
      <i/>
      <sz val="10"/>
      <name val="Calibri"/>
    </font>
    <font>
      <sz val="10"/>
      <color rgb="FF0563C1"/>
      <name val="Calibri"/>
    </font>
    <font>
      <b/>
      <sz val="11"/>
      <color rgb="FF008000"/>
      <name val="Calibri"/>
    </font>
    <font>
      <i/>
      <sz val="10"/>
      <color rgb="FF0000FF"/>
      <name val="Calibri"/>
    </font>
    <font>
      <i/>
      <sz val="10"/>
      <color rgb="FFC00000"/>
      <name val="Calibri"/>
    </font>
    <font>
      <b/>
      <sz val="14"/>
      <color rgb="FFC00000"/>
      <name val="Calibri"/>
    </font>
    <font>
      <b/>
      <sz val="10"/>
      <color rgb="FFC00000"/>
      <name val="Calibri"/>
    </font>
    <font>
      <b/>
      <sz val="10"/>
      <color rgb="FF1F3A5F"/>
      <name val="Calibri"/>
    </font>
    <font>
      <b/>
      <sz val="14"/>
      <color rgb="FFFFFFFF"/>
      <name val="Calibri"/>
    </font>
    <font>
      <i/>
      <sz val="10"/>
      <color rgb="FF374151"/>
      <name val="Calibri"/>
    </font>
    <font>
      <b/>
      <sz val="11"/>
      <color rgb="FF78350F"/>
      <name val="Calibri"/>
    </font>
    <font>
      <i/>
      <sz val="11"/>
      <color rgb="FF374151"/>
      <name val="Calibri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i/>
      <sz val="11"/>
      <color rgb="FF555555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4"/>
      <color rgb="FF000000"/>
      <name val="Calibri"/>
      <family val="2"/>
    </font>
    <font>
      <i/>
      <sz val="14"/>
      <color rgb="FF555555"/>
      <name val="Calibri"/>
      <family val="2"/>
    </font>
    <font>
      <b/>
      <sz val="11"/>
      <color rgb="FF1F3A5F"/>
      <name val="Calibri"/>
      <family val="2"/>
    </font>
    <font>
      <b/>
      <sz val="14"/>
      <color rgb="FF1F3A5F"/>
      <name val="Calibri"/>
      <family val="2"/>
    </font>
    <font>
      <sz val="14"/>
      <color rgb="FF0000FF"/>
      <name val="Calibri"/>
      <family val="2"/>
    </font>
    <font>
      <sz val="14"/>
      <color theme="1"/>
      <name val="Calibri"/>
      <family val="2"/>
    </font>
    <font>
      <b/>
      <sz val="16"/>
      <color rgb="FF1F3A5F"/>
      <name val="Calibri"/>
      <family val="2"/>
    </font>
    <font>
      <sz val="16"/>
      <color theme="1"/>
      <name val="Calibri"/>
      <family val="2"/>
    </font>
    <font>
      <i/>
      <sz val="11"/>
      <color rgb="FF37415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888888"/>
      <name val="Calibri"/>
      <family val="2"/>
    </font>
    <font>
      <sz val="11"/>
      <color rgb="FF008000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sz val="12"/>
      <color rgb="FF0563C1"/>
      <name val="Calibri"/>
      <family val="2"/>
    </font>
    <font>
      <sz val="12"/>
      <color rgb="FF888888"/>
      <name val="Calibri"/>
      <family val="2"/>
    </font>
    <font>
      <sz val="12"/>
      <color theme="1"/>
      <name val="Calibri"/>
      <family val="2"/>
    </font>
    <font>
      <b/>
      <sz val="18"/>
      <color rgb="FF1F3A5F"/>
      <name val="Calibri"/>
      <family val="2"/>
    </font>
    <font>
      <i/>
      <sz val="18"/>
      <color rgb="FF555555"/>
      <name val="Calibri"/>
      <family val="2"/>
    </font>
    <font>
      <sz val="14"/>
      <color rgb="FF008000"/>
      <name val="Calibri"/>
      <family val="2"/>
    </font>
    <font>
      <sz val="20"/>
      <color rgb="FF000000"/>
      <name val="Calibri"/>
      <family val="2"/>
    </font>
    <font>
      <sz val="20"/>
      <color rgb="FF008000"/>
      <name val="Calibri"/>
      <family val="2"/>
    </font>
    <font>
      <b/>
      <sz val="14"/>
      <color rgb="FFFFFFFF"/>
      <name val="Calibri"/>
      <family val="2"/>
    </font>
    <font>
      <sz val="14"/>
      <name val="Calibri"/>
      <family val="2"/>
    </font>
    <font>
      <b/>
      <sz val="14"/>
      <color rgb="FFC00000"/>
      <name val="Calibri"/>
      <family val="2"/>
    </font>
    <font>
      <sz val="14"/>
      <color rgb="FFC00000"/>
      <name val="Calibri"/>
      <family val="2"/>
    </font>
    <font>
      <sz val="18"/>
      <color theme="1"/>
      <name val="Calibri"/>
      <family val="2"/>
    </font>
    <font>
      <b/>
      <sz val="18"/>
      <color rgb="FFFFFFFF"/>
      <name val="Calibri"/>
      <family val="2"/>
    </font>
    <font>
      <b/>
      <sz val="18"/>
      <name val="Calibri"/>
      <family val="2"/>
    </font>
    <font>
      <sz val="18"/>
      <name val="Calibri"/>
      <family val="2"/>
    </font>
    <font>
      <sz val="18"/>
      <color rgb="FF0000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E8F0F8"/>
      </patternFill>
    </fill>
    <fill>
      <patternFill patternType="solid">
        <fgColor rgb="FF1F3A5F"/>
      </patternFill>
    </fill>
    <fill>
      <patternFill patternType="solid">
        <fgColor rgb="FFF8D7DA"/>
      </patternFill>
    </fill>
    <fill>
      <patternFill patternType="solid">
        <fgColor rgb="FFE8F4FD"/>
      </patternFill>
    </fill>
    <fill>
      <patternFill patternType="solid">
        <fgColor rgb="FFFFF3CD"/>
      </patternFill>
    </fill>
    <fill>
      <patternFill patternType="solid">
        <fgColor rgb="FFC6EFCE"/>
      </patternFill>
    </fill>
    <fill>
      <patternFill patternType="solid">
        <fgColor rgb="FFD4EDDA"/>
      </patternFill>
    </fill>
    <fill>
      <patternFill patternType="solid">
        <fgColor rgb="FFB4D6F7"/>
      </patternFill>
    </fill>
    <fill>
      <patternFill patternType="solid">
        <fgColor rgb="FFFFE4B5"/>
      </patternFill>
    </fill>
    <fill>
      <patternFill patternType="solid">
        <fgColor rgb="FFFFD580"/>
      </patternFill>
    </fill>
    <fill>
      <patternFill patternType="solid">
        <fgColor rgb="FFD3D3D3"/>
      </patternFill>
    </fill>
    <fill>
      <patternFill patternType="solid">
        <fgColor rgb="FFFFF0F0"/>
      </patternFill>
    </fill>
    <fill>
      <patternFill patternType="solid">
        <fgColor rgb="FF0B3040"/>
      </patternFill>
    </fill>
    <fill>
      <patternFill patternType="solid">
        <fgColor rgb="FF0F766E"/>
      </patternFill>
    </fill>
    <fill>
      <patternFill patternType="solid">
        <fgColor rgb="FF115E59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5" fillId="0" borderId="0" xfId="0" applyFont="1"/>
    <xf numFmtId="0" fontId="9" fillId="4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7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6" fillId="3" borderId="1" xfId="0" applyFont="1" applyFill="1" applyBorder="1"/>
    <xf numFmtId="0" fontId="5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3" fillId="12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13" borderId="1" xfId="0" applyFont="1" applyFill="1" applyBorder="1" applyAlignment="1">
      <alignment horizontal="left" vertical="top" wrapText="1"/>
    </xf>
    <xf numFmtId="0" fontId="17" fillId="0" borderId="0" xfId="0" applyFont="1"/>
    <xf numFmtId="0" fontId="6" fillId="3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20" fillId="14" borderId="1" xfId="0" applyFont="1" applyFill="1" applyBorder="1"/>
    <xf numFmtId="0" fontId="16" fillId="0" borderId="1" xfId="0" applyFont="1" applyBorder="1" applyAlignment="1">
      <alignment horizontal="left" vertical="center" wrapText="1"/>
    </xf>
    <xf numFmtId="0" fontId="11" fillId="0" borderId="1" xfId="0" applyFont="1" applyBorder="1"/>
    <xf numFmtId="0" fontId="21" fillId="0" borderId="1" xfId="0" applyFont="1" applyBorder="1" applyAlignment="1">
      <alignment horizontal="left" vertical="top" wrapText="1"/>
    </xf>
    <xf numFmtId="0" fontId="22" fillId="15" borderId="0" xfId="0" applyFont="1" applyFill="1" applyAlignment="1">
      <alignment vertical="center"/>
    </xf>
    <xf numFmtId="0" fontId="9" fillId="16" borderId="0" xfId="0" applyFont="1" applyFill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7" borderId="0" xfId="0" applyFont="1" applyFill="1" applyAlignment="1">
      <alignment horizontal="center" vertical="center" wrapText="1"/>
    </xf>
    <xf numFmtId="0" fontId="22" fillId="15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1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wrapText="1"/>
    </xf>
    <xf numFmtId="9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4" fillId="18" borderId="0" xfId="0" applyFont="1" applyFill="1" applyAlignment="1">
      <alignment horizontal="center"/>
    </xf>
    <xf numFmtId="49" fontId="24" fillId="18" borderId="0" xfId="0" applyNumberFormat="1" applyFont="1" applyFill="1" applyAlignment="1">
      <alignment horizontal="center"/>
    </xf>
    <xf numFmtId="0" fontId="24" fillId="18" borderId="0" xfId="0" applyFont="1" applyFill="1" applyAlignment="1">
      <alignment horizontal="center" wrapText="1"/>
    </xf>
    <xf numFmtId="49" fontId="24" fillId="18" borderId="0" xfId="0" applyNumberFormat="1" applyFont="1" applyFill="1" applyAlignment="1">
      <alignment horizontal="center" wrapText="1"/>
    </xf>
    <xf numFmtId="9" fontId="9" fillId="17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0" fillId="0" borderId="0" xfId="0"/>
    <xf numFmtId="0" fontId="13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12" fillId="5" borderId="0" xfId="0" applyFont="1" applyFill="1" applyAlignment="1">
      <alignment wrapText="1"/>
    </xf>
    <xf numFmtId="0" fontId="16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18" fillId="0" borderId="0" xfId="0" applyFont="1"/>
    <xf numFmtId="0" fontId="3" fillId="14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left" vertical="top" wrapText="1"/>
    </xf>
    <xf numFmtId="0" fontId="19" fillId="5" borderId="0" xfId="0" applyFont="1" applyFill="1"/>
    <xf numFmtId="0" fontId="8" fillId="0" borderId="0" xfId="0" applyFont="1"/>
    <xf numFmtId="0" fontId="18" fillId="0" borderId="0" xfId="0" applyFont="1" applyAlignment="1">
      <alignment horizontal="left" vertical="top" wrapText="1"/>
    </xf>
    <xf numFmtId="0" fontId="25" fillId="0" borderId="0" xfId="0" applyFont="1" applyAlignme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1" fillId="0" borderId="0" xfId="0" applyFont="1"/>
    <xf numFmtId="0" fontId="32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165" fontId="32" fillId="0" borderId="0" xfId="0" applyNumberFormat="1" applyFont="1" applyAlignment="1">
      <alignment horizontal="left" vertical="center" wrapText="1"/>
    </xf>
    <xf numFmtId="0" fontId="35" fillId="2" borderId="0" xfId="0" applyFont="1" applyFill="1"/>
    <xf numFmtId="0" fontId="36" fillId="3" borderId="0" xfId="0" applyFont="1" applyFill="1" applyAlignment="1">
      <alignment horizontal="left" vertical="center" wrapText="1"/>
    </xf>
    <xf numFmtId="164" fontId="36" fillId="3" borderId="0" xfId="0" applyNumberFormat="1" applyFont="1" applyFill="1" applyAlignment="1">
      <alignment horizontal="left" vertical="center" wrapText="1"/>
    </xf>
    <xf numFmtId="1" fontId="36" fillId="3" borderId="0" xfId="0" applyNumberFormat="1" applyFont="1" applyFill="1" applyAlignment="1">
      <alignment horizontal="left" vertical="center" wrapText="1"/>
    </xf>
    <xf numFmtId="0" fontId="37" fillId="0" borderId="0" xfId="0" applyFont="1"/>
    <xf numFmtId="0" fontId="38" fillId="2" borderId="0" xfId="0" applyFont="1" applyFill="1"/>
    <xf numFmtId="0" fontId="39" fillId="0" borderId="0" xfId="0" applyFont="1"/>
    <xf numFmtId="0" fontId="23" fillId="0" borderId="0" xfId="0" applyFont="1" applyAlignment="1"/>
    <xf numFmtId="0" fontId="41" fillId="16" borderId="0" xfId="0" applyFont="1" applyFill="1" applyAlignment="1">
      <alignment horizontal="center" vertical="center" wrapText="1"/>
    </xf>
    <xf numFmtId="0" fontId="41" fillId="16" borderId="0" xfId="0" applyFont="1" applyFill="1" applyAlignment="1">
      <alignment horizontal="center" vertical="center" wrapText="1"/>
    </xf>
    <xf numFmtId="0" fontId="29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41" fillId="4" borderId="1" xfId="0" applyFont="1" applyFill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41" fillId="17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wrapText="1"/>
    </xf>
    <xf numFmtId="0" fontId="40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vertical="center" wrapText="1"/>
    </xf>
    <xf numFmtId="0" fontId="43" fillId="0" borderId="1" xfId="0" applyFont="1" applyBorder="1" applyAlignment="1">
      <alignment vertical="center" wrapText="1"/>
    </xf>
    <xf numFmtId="0" fontId="44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0" xfId="0" applyAlignment="1"/>
    <xf numFmtId="0" fontId="4" fillId="2" borderId="0" xfId="0" applyFont="1" applyFill="1" applyAlignment="1"/>
    <xf numFmtId="0" fontId="0" fillId="0" borderId="0" xfId="0" applyAlignment="1"/>
    <xf numFmtId="0" fontId="30" fillId="0" borderId="1" xfId="0" applyFont="1" applyBorder="1" applyAlignment="1">
      <alignment horizontal="left" vertical="center" wrapText="1"/>
    </xf>
    <xf numFmtId="0" fontId="45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left" vertical="center" wrapText="1"/>
    </xf>
    <xf numFmtId="0" fontId="48" fillId="0" borderId="1" xfId="0" applyFont="1" applyBorder="1" applyAlignment="1">
      <alignment horizontal="left" vertical="center" wrapText="1"/>
    </xf>
    <xf numFmtId="0" fontId="49" fillId="0" borderId="0" xfId="0" applyFont="1" applyAlignment="1">
      <alignment vertical="center" wrapText="1"/>
    </xf>
    <xf numFmtId="0" fontId="50" fillId="0" borderId="0" xfId="0" applyFont="1"/>
    <xf numFmtId="0" fontId="51" fillId="0" borderId="0" xfId="0" applyFont="1"/>
    <xf numFmtId="0" fontId="32" fillId="0" borderId="1" xfId="0" applyFont="1" applyBorder="1" applyAlignment="1">
      <alignment horizontal="left" vertical="top" wrapText="1"/>
    </xf>
    <xf numFmtId="0" fontId="52" fillId="0" borderId="1" xfId="0" applyFont="1" applyBorder="1" applyAlignment="1">
      <alignment horizontal="left" vertical="top" wrapText="1"/>
    </xf>
    <xf numFmtId="0" fontId="53" fillId="0" borderId="1" xfId="0" applyFont="1" applyBorder="1" applyAlignment="1">
      <alignment horizontal="left" vertical="top" wrapText="1"/>
    </xf>
    <xf numFmtId="0" fontId="54" fillId="0" borderId="1" xfId="0" applyFont="1" applyBorder="1" applyAlignment="1">
      <alignment horizontal="left" vertical="top" wrapText="1"/>
    </xf>
    <xf numFmtId="0" fontId="37" fillId="0" borderId="0" xfId="0" applyFont="1"/>
    <xf numFmtId="0" fontId="55" fillId="4" borderId="1" xfId="0" applyFont="1" applyFill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top" wrapText="1"/>
    </xf>
    <xf numFmtId="0" fontId="56" fillId="0" borderId="1" xfId="0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/>
    </xf>
    <xf numFmtId="0" fontId="57" fillId="5" borderId="0" xfId="0" applyFont="1" applyFill="1"/>
    <xf numFmtId="0" fontId="58" fillId="0" borderId="0" xfId="0" applyFont="1" applyAlignment="1">
      <alignment horizontal="left" vertical="top" wrapText="1"/>
    </xf>
    <xf numFmtId="0" fontId="55" fillId="17" borderId="0" xfId="0" applyFont="1" applyFill="1" applyAlignment="1">
      <alignment horizontal="center" vertical="center" wrapText="1"/>
    </xf>
    <xf numFmtId="0" fontId="37" fillId="0" borderId="0" xfId="0" applyFont="1" applyAlignment="1">
      <alignment wrapText="1"/>
    </xf>
    <xf numFmtId="0" fontId="59" fillId="0" borderId="0" xfId="0" applyFont="1"/>
    <xf numFmtId="0" fontId="50" fillId="2" borderId="0" xfId="0" applyFont="1" applyFill="1"/>
    <xf numFmtId="0" fontId="59" fillId="0" borderId="0" xfId="0" applyFont="1"/>
    <xf numFmtId="0" fontId="60" fillId="4" borderId="1" xfId="0" applyFont="1" applyFill="1" applyBorder="1" applyAlignment="1">
      <alignment horizontal="left" vertical="center" wrapText="1"/>
    </xf>
    <xf numFmtId="0" fontId="61" fillId="0" borderId="1" xfId="0" applyFont="1" applyBorder="1" applyAlignment="1">
      <alignment horizontal="left" vertical="top" wrapText="1"/>
    </xf>
    <xf numFmtId="0" fontId="62" fillId="0" borderId="1" xfId="0" applyFont="1" applyBorder="1" applyAlignment="1">
      <alignment horizontal="left" vertical="top" wrapText="1"/>
    </xf>
    <xf numFmtId="0" fontId="61" fillId="0" borderId="1" xfId="0" applyFont="1" applyBorder="1"/>
    <xf numFmtId="0" fontId="63" fillId="3" borderId="1" xfId="0" applyFont="1" applyFill="1" applyBorder="1" applyAlignment="1">
      <alignment horizontal="left" vertical="center" wrapText="1"/>
    </xf>
    <xf numFmtId="0" fontId="61" fillId="2" borderId="1" xfId="0" applyFont="1" applyFill="1" applyBorder="1"/>
    <xf numFmtId="0" fontId="59" fillId="0" borderId="1" xfId="0" applyFont="1" applyBorder="1"/>
    <xf numFmtId="0" fontId="62" fillId="0" borderId="1" xfId="0" applyFont="1" applyBorder="1"/>
    <xf numFmtId="0" fontId="63" fillId="3" borderId="1" xfId="0" applyFont="1" applyFill="1" applyBorder="1"/>
  </cellXfs>
  <cellStyles count="1">
    <cellStyle name="Normal" xfId="0" builtinId="0"/>
  </cellStyles>
  <dxfs count="11"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F0F0F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workbookViewId="0"/>
  </sheetViews>
  <sheetFormatPr defaultRowHeight="14.5" x14ac:dyDescent="0.35"/>
  <cols>
    <col min="1" max="1" width="38" customWidth="1"/>
    <col min="2" max="2" width="80" customWidth="1"/>
    <col min="11" max="12" width="20" customWidth="1"/>
  </cols>
  <sheetData>
    <row r="1" spans="1:12" ht="21" x14ac:dyDescent="0.5">
      <c r="A1" s="1" t="s">
        <v>0</v>
      </c>
      <c r="K1" s="47" t="s">
        <v>1</v>
      </c>
      <c r="L1" s="48" t="s">
        <v>2</v>
      </c>
    </row>
    <row r="2" spans="1:12" x14ac:dyDescent="0.35">
      <c r="A2" s="2" t="s">
        <v>3</v>
      </c>
    </row>
    <row r="4" spans="1:12" x14ac:dyDescent="0.35">
      <c r="A4" s="3" t="s">
        <v>4</v>
      </c>
      <c r="B4" s="4" t="s">
        <v>4</v>
      </c>
    </row>
    <row r="5" spans="1:12" ht="15.5" x14ac:dyDescent="0.35">
      <c r="A5" s="52" t="s">
        <v>5</v>
      </c>
      <c r="B5" s="53"/>
    </row>
    <row r="6" spans="1:12" x14ac:dyDescent="0.35">
      <c r="A6" s="5" t="s">
        <v>6</v>
      </c>
      <c r="B6" s="4" t="s">
        <v>7</v>
      </c>
    </row>
    <row r="7" spans="1:12" x14ac:dyDescent="0.35">
      <c r="A7" s="5" t="s">
        <v>8</v>
      </c>
      <c r="B7" s="4" t="s">
        <v>9</v>
      </c>
    </row>
    <row r="8" spans="1:12" x14ac:dyDescent="0.35">
      <c r="A8" s="5" t="s">
        <v>10</v>
      </c>
      <c r="B8" s="4" t="s">
        <v>11</v>
      </c>
    </row>
    <row r="9" spans="1:12" x14ac:dyDescent="0.35">
      <c r="A9" s="5" t="s">
        <v>12</v>
      </c>
      <c r="B9" s="4" t="s">
        <v>13</v>
      </c>
    </row>
    <row r="10" spans="1:12" x14ac:dyDescent="0.35">
      <c r="A10" s="5" t="s">
        <v>14</v>
      </c>
      <c r="B10" s="4" t="s">
        <v>15</v>
      </c>
    </row>
    <row r="11" spans="1:12" x14ac:dyDescent="0.35">
      <c r="A11" s="5" t="s">
        <v>16</v>
      </c>
      <c r="B11" s="4" t="s">
        <v>17</v>
      </c>
    </row>
    <row r="12" spans="1:12" x14ac:dyDescent="0.35">
      <c r="A12" s="5" t="s">
        <v>18</v>
      </c>
      <c r="B12" s="4" t="s">
        <v>19</v>
      </c>
    </row>
    <row r="13" spans="1:12" x14ac:dyDescent="0.35">
      <c r="A13" s="5" t="s">
        <v>20</v>
      </c>
      <c r="B13" s="4" t="s">
        <v>21</v>
      </c>
    </row>
    <row r="14" spans="1:12" x14ac:dyDescent="0.35">
      <c r="A14" s="5" t="s">
        <v>22</v>
      </c>
      <c r="B14" s="4" t="s">
        <v>23</v>
      </c>
    </row>
    <row r="15" spans="1:12" x14ac:dyDescent="0.35">
      <c r="A15" s="5" t="s">
        <v>24</v>
      </c>
      <c r="B15" s="4" t="s">
        <v>25</v>
      </c>
    </row>
    <row r="16" spans="1:12" x14ac:dyDescent="0.35">
      <c r="A16" s="5" t="s">
        <v>26</v>
      </c>
      <c r="B16" s="4" t="s">
        <v>27</v>
      </c>
    </row>
    <row r="17" spans="1:2" x14ac:dyDescent="0.35">
      <c r="A17" s="5" t="s">
        <v>28</v>
      </c>
      <c r="B17" s="4" t="s">
        <v>29</v>
      </c>
    </row>
    <row r="18" spans="1:2" x14ac:dyDescent="0.35">
      <c r="A18" s="5" t="s">
        <v>30</v>
      </c>
      <c r="B18" s="4" t="s">
        <v>31</v>
      </c>
    </row>
    <row r="19" spans="1:2" x14ac:dyDescent="0.35">
      <c r="A19" s="5" t="s">
        <v>32</v>
      </c>
      <c r="B19" s="4" t="s">
        <v>33</v>
      </c>
    </row>
    <row r="20" spans="1:2" x14ac:dyDescent="0.35">
      <c r="A20" s="3" t="s">
        <v>4</v>
      </c>
      <c r="B20" s="4" t="s">
        <v>4</v>
      </c>
    </row>
    <row r="21" spans="1:2" ht="15.5" x14ac:dyDescent="0.35">
      <c r="A21" s="52" t="s">
        <v>34</v>
      </c>
      <c r="B21" s="53"/>
    </row>
    <row r="22" spans="1:2" ht="26" x14ac:dyDescent="0.35">
      <c r="A22" s="5" t="s">
        <v>35</v>
      </c>
      <c r="B22" s="4" t="s">
        <v>36</v>
      </c>
    </row>
    <row r="23" spans="1:2" x14ac:dyDescent="0.35">
      <c r="A23" s="5" t="s">
        <v>37</v>
      </c>
      <c r="B23" s="4" t="s">
        <v>38</v>
      </c>
    </row>
    <row r="24" spans="1:2" ht="26" x14ac:dyDescent="0.35">
      <c r="A24" s="5" t="s">
        <v>39</v>
      </c>
      <c r="B24" s="4" t="s">
        <v>40</v>
      </c>
    </row>
    <row r="25" spans="1:2" ht="26" x14ac:dyDescent="0.35">
      <c r="A25" s="5" t="s">
        <v>41</v>
      </c>
      <c r="B25" s="4" t="s">
        <v>42</v>
      </c>
    </row>
    <row r="26" spans="1:2" ht="26" x14ac:dyDescent="0.35">
      <c r="A26" s="5" t="s">
        <v>43</v>
      </c>
      <c r="B26" s="4" t="s">
        <v>44</v>
      </c>
    </row>
    <row r="27" spans="1:2" x14ac:dyDescent="0.35">
      <c r="A27" s="3" t="s">
        <v>4</v>
      </c>
      <c r="B27" s="4" t="s">
        <v>4</v>
      </c>
    </row>
    <row r="28" spans="1:2" ht="15.5" x14ac:dyDescent="0.35">
      <c r="A28" s="52" t="s">
        <v>45</v>
      </c>
      <c r="B28" s="53"/>
    </row>
    <row r="29" spans="1:2" x14ac:dyDescent="0.35">
      <c r="A29" s="5" t="s">
        <v>46</v>
      </c>
      <c r="B29" s="4" t="s">
        <v>47</v>
      </c>
    </row>
    <row r="30" spans="1:2" x14ac:dyDescent="0.35">
      <c r="A30" s="5" t="s">
        <v>48</v>
      </c>
      <c r="B30" s="4" t="s">
        <v>49</v>
      </c>
    </row>
    <row r="31" spans="1:2" x14ac:dyDescent="0.35">
      <c r="A31" s="5" t="s">
        <v>50</v>
      </c>
      <c r="B31" s="4" t="s">
        <v>51</v>
      </c>
    </row>
    <row r="32" spans="1:2" x14ac:dyDescent="0.35">
      <c r="A32" s="5" t="s">
        <v>52</v>
      </c>
      <c r="B32" s="4" t="s">
        <v>53</v>
      </c>
    </row>
    <row r="33" spans="1:2" x14ac:dyDescent="0.35">
      <c r="A33" s="5" t="s">
        <v>54</v>
      </c>
      <c r="B33" s="4" t="s">
        <v>55</v>
      </c>
    </row>
    <row r="34" spans="1:2" x14ac:dyDescent="0.35">
      <c r="A34" s="5" t="s">
        <v>56</v>
      </c>
      <c r="B34" s="4" t="s">
        <v>57</v>
      </c>
    </row>
    <row r="35" spans="1:2" x14ac:dyDescent="0.35">
      <c r="A35" s="3" t="s">
        <v>4</v>
      </c>
      <c r="B35" s="4" t="s">
        <v>4</v>
      </c>
    </row>
    <row r="36" spans="1:2" ht="15.5" x14ac:dyDescent="0.35">
      <c r="A36" s="52" t="s">
        <v>58</v>
      </c>
      <c r="B36" s="53"/>
    </row>
    <row r="37" spans="1:2" ht="78" x14ac:dyDescent="0.35">
      <c r="A37" s="3" t="s">
        <v>4</v>
      </c>
      <c r="B37" s="4" t="s">
        <v>59</v>
      </c>
    </row>
    <row r="38" spans="1:2" x14ac:dyDescent="0.35">
      <c r="A38" s="3" t="s">
        <v>4</v>
      </c>
      <c r="B38" s="4" t="s">
        <v>4</v>
      </c>
    </row>
    <row r="39" spans="1:2" ht="15.5" x14ac:dyDescent="0.35">
      <c r="A39" s="52" t="s">
        <v>60</v>
      </c>
      <c r="B39" s="53"/>
    </row>
    <row r="40" spans="1:2" x14ac:dyDescent="0.35">
      <c r="A40" s="5" t="s">
        <v>61</v>
      </c>
      <c r="B40" s="4" t="s">
        <v>62</v>
      </c>
    </row>
    <row r="41" spans="1:2" x14ac:dyDescent="0.35">
      <c r="A41" s="5" t="s">
        <v>63</v>
      </c>
      <c r="B41" s="4" t="s">
        <v>64</v>
      </c>
    </row>
    <row r="42" spans="1:2" x14ac:dyDescent="0.35">
      <c r="A42" s="5" t="s">
        <v>65</v>
      </c>
      <c r="B42" s="4" t="s">
        <v>66</v>
      </c>
    </row>
    <row r="43" spans="1:2" x14ac:dyDescent="0.35">
      <c r="A43" s="5" t="s">
        <v>67</v>
      </c>
      <c r="B43" s="4" t="s">
        <v>68</v>
      </c>
    </row>
    <row r="44" spans="1:2" ht="26" x14ac:dyDescent="0.35">
      <c r="A44" s="5" t="s">
        <v>69</v>
      </c>
      <c r="B44" s="4" t="s">
        <v>70</v>
      </c>
    </row>
  </sheetData>
  <mergeCells count="5">
    <mergeCell ref="A21:B21"/>
    <mergeCell ref="A28:B28"/>
    <mergeCell ref="A5:B5"/>
    <mergeCell ref="A36:B36"/>
    <mergeCell ref="A39:B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workbookViewId="0">
      <selection activeCell="H18" sqref="H18"/>
    </sheetView>
  </sheetViews>
  <sheetFormatPr defaultRowHeight="14.5" x14ac:dyDescent="0.35"/>
  <cols>
    <col min="1" max="1" width="30" customWidth="1"/>
    <col min="2" max="2" width="22" customWidth="1"/>
    <col min="3" max="3" width="60" customWidth="1"/>
    <col min="11" max="12" width="20" customWidth="1"/>
  </cols>
  <sheetData>
    <row r="1" spans="1:12" ht="21" x14ac:dyDescent="0.5">
      <c r="A1" s="1" t="s">
        <v>71</v>
      </c>
      <c r="K1" s="47" t="s">
        <v>1</v>
      </c>
      <c r="L1" s="48" t="s">
        <v>2</v>
      </c>
    </row>
    <row r="2" spans="1:12" x14ac:dyDescent="0.35">
      <c r="A2" s="2" t="s">
        <v>72</v>
      </c>
    </row>
    <row r="5" spans="1:12" ht="18.5" x14ac:dyDescent="0.45">
      <c r="A5" s="75" t="s">
        <v>73</v>
      </c>
      <c r="B5" s="75"/>
      <c r="C5" s="75"/>
    </row>
    <row r="6" spans="1:12" ht="18.5" x14ac:dyDescent="0.45">
      <c r="A6" s="71" t="s">
        <v>74</v>
      </c>
      <c r="B6" s="76" t="s">
        <v>2382</v>
      </c>
      <c r="C6" s="73" t="s">
        <v>75</v>
      </c>
    </row>
    <row r="7" spans="1:12" ht="18.5" x14ac:dyDescent="0.45">
      <c r="A7" s="71" t="s">
        <v>76</v>
      </c>
      <c r="B7" s="77">
        <v>24108</v>
      </c>
      <c r="C7" s="73" t="s">
        <v>77</v>
      </c>
    </row>
    <row r="8" spans="1:12" ht="18.5" x14ac:dyDescent="0.45">
      <c r="A8" s="71" t="s">
        <v>78</v>
      </c>
      <c r="B8" s="76" t="s">
        <v>79</v>
      </c>
      <c r="C8" s="73" t="s">
        <v>80</v>
      </c>
    </row>
    <row r="9" spans="1:12" ht="18.5" x14ac:dyDescent="0.45">
      <c r="A9" s="71" t="s">
        <v>81</v>
      </c>
      <c r="B9" s="78">
        <v>155</v>
      </c>
      <c r="C9" s="73" t="s">
        <v>82</v>
      </c>
    </row>
    <row r="10" spans="1:12" ht="18.5" x14ac:dyDescent="0.45">
      <c r="A10" s="71" t="s">
        <v>83</v>
      </c>
      <c r="B10" s="78">
        <v>59</v>
      </c>
      <c r="C10" s="73" t="s">
        <v>84</v>
      </c>
    </row>
    <row r="11" spans="1:12" ht="18.5" x14ac:dyDescent="0.45">
      <c r="A11" s="71" t="s">
        <v>85</v>
      </c>
      <c r="B11" s="78">
        <v>61</v>
      </c>
      <c r="C11" s="73" t="s">
        <v>86</v>
      </c>
    </row>
    <row r="12" spans="1:12" ht="18.5" x14ac:dyDescent="0.45">
      <c r="A12" s="71" t="s">
        <v>87</v>
      </c>
      <c r="B12" s="78">
        <v>35</v>
      </c>
      <c r="C12" s="73" t="s">
        <v>88</v>
      </c>
    </row>
    <row r="13" spans="1:12" ht="18.5" x14ac:dyDescent="0.45">
      <c r="A13" s="71" t="s">
        <v>89</v>
      </c>
      <c r="B13" s="78">
        <v>35</v>
      </c>
      <c r="C13" s="73" t="s">
        <v>90</v>
      </c>
    </row>
    <row r="14" spans="1:12" ht="21" x14ac:dyDescent="0.5">
      <c r="A14" s="80" t="s">
        <v>91</v>
      </c>
      <c r="B14" s="81"/>
      <c r="C14" s="81"/>
    </row>
    <row r="15" spans="1:12" ht="18.5" x14ac:dyDescent="0.45">
      <c r="A15" s="71" t="s">
        <v>92</v>
      </c>
      <c r="B15" s="72">
        <f ca="1">TODAY()</f>
        <v>46157</v>
      </c>
      <c r="C15" s="73" t="s">
        <v>93</v>
      </c>
    </row>
    <row r="16" spans="1:12" ht="18.5" x14ac:dyDescent="0.45">
      <c r="A16" s="71" t="s">
        <v>94</v>
      </c>
      <c r="B16" s="72">
        <f ca="1">INT((B15-B7)/365.25)</f>
        <v>60</v>
      </c>
      <c r="C16" s="73" t="s">
        <v>95</v>
      </c>
    </row>
    <row r="17" spans="1:3" ht="18.5" x14ac:dyDescent="0.45">
      <c r="A17" s="71" t="s">
        <v>96</v>
      </c>
      <c r="B17" s="74">
        <f>B10/((B9/100)^2)</f>
        <v>24.557752341311129</v>
      </c>
      <c r="C17" s="73" t="s">
        <v>97</v>
      </c>
    </row>
    <row r="18" spans="1:3" ht="18.5" x14ac:dyDescent="0.45">
      <c r="A18" s="71" t="s">
        <v>98</v>
      </c>
      <c r="B18" s="72" t="str">
        <f>IF(B17&lt;18.5,"Underweight",IF(B17&lt;25,"Normal",IF(B17&lt;30,"Overweight","Obese")))</f>
        <v>Normal</v>
      </c>
      <c r="C18" s="73" t="s">
        <v>4</v>
      </c>
    </row>
    <row r="19" spans="1:3" ht="18.5" x14ac:dyDescent="0.45">
      <c r="A19" s="71" t="s">
        <v>99</v>
      </c>
      <c r="B19" s="72">
        <f>ROUND(B10*1.6,0)</f>
        <v>94</v>
      </c>
      <c r="C19" s="73" t="s">
        <v>100</v>
      </c>
    </row>
    <row r="20" spans="1:3" ht="18.5" x14ac:dyDescent="0.45">
      <c r="A20" s="71" t="s">
        <v>101</v>
      </c>
      <c r="B20" s="72">
        <f>ROUND(B19/4,0)</f>
        <v>24</v>
      </c>
      <c r="C20" s="73" t="s">
        <v>102</v>
      </c>
    </row>
    <row r="21" spans="1:3" ht="18.5" x14ac:dyDescent="0.45">
      <c r="A21" s="71" t="s">
        <v>103</v>
      </c>
      <c r="B21" s="72">
        <f>ROUND(B10*30/1000,1)</f>
        <v>1.8</v>
      </c>
      <c r="C21" s="73" t="s">
        <v>104</v>
      </c>
    </row>
    <row r="22" spans="1:3" ht="18.5" x14ac:dyDescent="0.45">
      <c r="A22" s="71" t="s">
        <v>105</v>
      </c>
      <c r="B22" s="72">
        <f ca="1">ROUND(208-0.7*B16,0)</f>
        <v>166</v>
      </c>
      <c r="C22" s="73" t="s">
        <v>106</v>
      </c>
    </row>
    <row r="23" spans="1:3" ht="18.5" x14ac:dyDescent="0.45">
      <c r="A23" s="71" t="s">
        <v>107</v>
      </c>
      <c r="B23" s="72">
        <f ca="1">ROUND(B22*0.7,0)</f>
        <v>116</v>
      </c>
      <c r="C23" s="73" t="s">
        <v>108</v>
      </c>
    </row>
    <row r="24" spans="1:3" ht="18.5" x14ac:dyDescent="0.45">
      <c r="A24" s="71" t="s">
        <v>109</v>
      </c>
      <c r="B24" s="72">
        <f ca="1">ROUND(B22*0.9,0)</f>
        <v>149</v>
      </c>
      <c r="C24" s="73" t="s">
        <v>110</v>
      </c>
    </row>
    <row r="25" spans="1:3" ht="37" x14ac:dyDescent="0.45">
      <c r="A25" s="71" t="s">
        <v>111</v>
      </c>
      <c r="B25" s="72" t="str">
        <f ca="1">TEXT(B15,"dddd, mmmm d, yyyy")</f>
        <v>Friday, May 15, 2026</v>
      </c>
      <c r="C25" s="73" t="s">
        <v>4</v>
      </c>
    </row>
  </sheetData>
  <mergeCells count="2">
    <mergeCell ref="A5:C5"/>
    <mergeCell ref="A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0"/>
  <sheetViews>
    <sheetView topLeftCell="A2" workbookViewId="0">
      <selection activeCell="C9" sqref="C9"/>
    </sheetView>
  </sheetViews>
  <sheetFormatPr defaultRowHeight="14.5" x14ac:dyDescent="0.35"/>
  <cols>
    <col min="1" max="1" width="10" style="70" customWidth="1"/>
    <col min="2" max="2" width="36" style="70" customWidth="1"/>
    <col min="3" max="4" width="16" style="70" customWidth="1"/>
    <col min="5" max="6" width="28" style="70" customWidth="1"/>
    <col min="7" max="7" width="8" style="70" customWidth="1"/>
    <col min="8" max="9" width="16" style="70" customWidth="1"/>
    <col min="10" max="10" width="16" customWidth="1"/>
    <col min="11" max="12" width="20" customWidth="1"/>
  </cols>
  <sheetData>
    <row r="1" spans="1:12" ht="29" x14ac:dyDescent="0.35">
      <c r="A1" s="34" t="s">
        <v>112</v>
      </c>
      <c r="B1" s="39"/>
      <c r="C1" s="39"/>
      <c r="D1" s="39"/>
      <c r="E1" s="39"/>
      <c r="F1" s="39"/>
      <c r="G1" s="39"/>
      <c r="H1" s="39"/>
      <c r="I1" s="39"/>
      <c r="J1" s="39"/>
      <c r="K1" s="49" t="s">
        <v>1</v>
      </c>
      <c r="L1" s="50" t="s">
        <v>2</v>
      </c>
    </row>
    <row r="2" spans="1:12" x14ac:dyDescent="0.35">
      <c r="A2" s="92" t="s">
        <v>113</v>
      </c>
      <c r="B2" s="93"/>
      <c r="C2" s="93"/>
      <c r="D2" s="93"/>
      <c r="E2" s="93"/>
      <c r="F2" s="93"/>
      <c r="G2" s="93"/>
      <c r="H2" s="93"/>
      <c r="I2" s="93"/>
      <c r="J2" s="40"/>
      <c r="K2" s="40"/>
      <c r="L2" s="40"/>
    </row>
    <row r="3" spans="1:12" x14ac:dyDescent="0.35">
      <c r="A3" s="93"/>
      <c r="B3" s="93"/>
      <c r="C3" s="93"/>
      <c r="D3" s="93"/>
      <c r="E3" s="93"/>
      <c r="F3" s="93"/>
      <c r="G3" s="93"/>
      <c r="H3" s="93"/>
      <c r="I3" s="93"/>
      <c r="J3" s="40"/>
      <c r="K3" s="40"/>
      <c r="L3" s="40"/>
    </row>
    <row r="4" spans="1:12" x14ac:dyDescent="0.35">
      <c r="A4" s="83" t="s">
        <v>114</v>
      </c>
      <c r="B4" s="83" t="s">
        <v>115</v>
      </c>
      <c r="C4" s="83" t="s">
        <v>116</v>
      </c>
      <c r="D4" s="83" t="s">
        <v>117</v>
      </c>
      <c r="E4" s="83" t="s">
        <v>118</v>
      </c>
      <c r="F4" s="83" t="s">
        <v>119</v>
      </c>
      <c r="G4" s="83" t="s">
        <v>120</v>
      </c>
      <c r="H4" s="84" t="s">
        <v>121</v>
      </c>
      <c r="I4" s="84" t="s">
        <v>122</v>
      </c>
      <c r="J4" s="35" t="s">
        <v>123</v>
      </c>
      <c r="K4" s="40"/>
      <c r="L4" s="40"/>
    </row>
    <row r="5" spans="1:12" x14ac:dyDescent="0.35">
      <c r="A5" s="85" t="s">
        <v>124</v>
      </c>
      <c r="B5" s="86" t="s">
        <v>125</v>
      </c>
      <c r="C5" s="86" t="s">
        <v>126</v>
      </c>
      <c r="D5" s="86" t="s">
        <v>127</v>
      </c>
      <c r="E5" s="86" t="s">
        <v>128</v>
      </c>
      <c r="F5" s="86" t="s">
        <v>129</v>
      </c>
      <c r="G5" s="86" t="s">
        <v>130</v>
      </c>
      <c r="H5" s="93"/>
      <c r="I5" s="93" t="s">
        <v>131</v>
      </c>
      <c r="J5" s="40"/>
      <c r="K5" s="40"/>
      <c r="L5" s="40"/>
    </row>
    <row r="6" spans="1:12" ht="43.5" x14ac:dyDescent="0.35">
      <c r="A6" s="93" t="s">
        <v>132</v>
      </c>
      <c r="B6" s="93" t="s">
        <v>133</v>
      </c>
      <c r="C6" s="93" t="s">
        <v>134</v>
      </c>
      <c r="D6" s="93" t="s">
        <v>135</v>
      </c>
      <c r="E6" s="93" t="s">
        <v>136</v>
      </c>
      <c r="F6" s="93" t="s">
        <v>137</v>
      </c>
      <c r="G6" s="93" t="s">
        <v>130</v>
      </c>
      <c r="H6" s="93"/>
      <c r="I6" s="93" t="s">
        <v>138</v>
      </c>
      <c r="J6" s="40"/>
      <c r="K6" s="40"/>
      <c r="L6" s="40"/>
    </row>
    <row r="7" spans="1:12" ht="58" x14ac:dyDescent="0.35">
      <c r="A7" s="87" t="s">
        <v>139</v>
      </c>
      <c r="B7" s="87" t="s">
        <v>140</v>
      </c>
      <c r="C7" s="87" t="s">
        <v>141</v>
      </c>
      <c r="D7" s="87" t="s">
        <v>142</v>
      </c>
      <c r="E7" s="87" t="s">
        <v>143</v>
      </c>
      <c r="F7" s="87" t="s">
        <v>144</v>
      </c>
      <c r="G7" s="87" t="s">
        <v>130</v>
      </c>
      <c r="H7" s="93"/>
      <c r="I7" s="93" t="s">
        <v>145</v>
      </c>
      <c r="J7" s="40"/>
      <c r="K7" s="40"/>
      <c r="L7" s="40"/>
    </row>
    <row r="8" spans="1:12" ht="43.5" x14ac:dyDescent="0.35">
      <c r="A8" s="94" t="s">
        <v>146</v>
      </c>
      <c r="B8" s="97" t="s">
        <v>147</v>
      </c>
      <c r="C8" s="98" t="s">
        <v>148</v>
      </c>
      <c r="D8" s="95" t="s">
        <v>149</v>
      </c>
      <c r="E8" s="99" t="s">
        <v>150</v>
      </c>
      <c r="F8" s="88" t="s">
        <v>151</v>
      </c>
      <c r="G8" s="98" t="s">
        <v>130</v>
      </c>
      <c r="H8" s="93"/>
      <c r="I8" s="93" t="s">
        <v>138</v>
      </c>
      <c r="J8" s="40"/>
      <c r="K8" s="40"/>
      <c r="L8" s="40"/>
    </row>
    <row r="9" spans="1:12" ht="43.5" x14ac:dyDescent="0.35">
      <c r="A9" s="94" t="s">
        <v>152</v>
      </c>
      <c r="B9" s="97" t="s">
        <v>153</v>
      </c>
      <c r="C9" s="98" t="s">
        <v>154</v>
      </c>
      <c r="D9" s="95" t="s">
        <v>155</v>
      </c>
      <c r="E9" s="99" t="s">
        <v>128</v>
      </c>
      <c r="F9" s="88" t="s">
        <v>156</v>
      </c>
      <c r="G9" s="98" t="s">
        <v>130</v>
      </c>
      <c r="H9" s="93"/>
      <c r="I9" s="93" t="s">
        <v>138</v>
      </c>
      <c r="J9" s="40"/>
      <c r="K9" s="40"/>
      <c r="L9" s="40"/>
    </row>
    <row r="10" spans="1:12" ht="43.5" x14ac:dyDescent="0.35">
      <c r="A10" s="94" t="s">
        <v>157</v>
      </c>
      <c r="B10" s="97" t="s">
        <v>158</v>
      </c>
      <c r="C10" s="98" t="s">
        <v>159</v>
      </c>
      <c r="D10" s="95" t="s">
        <v>160</v>
      </c>
      <c r="E10" s="99" t="s">
        <v>128</v>
      </c>
      <c r="F10" s="88" t="s">
        <v>161</v>
      </c>
      <c r="G10" s="98" t="s">
        <v>130</v>
      </c>
      <c r="H10" s="93"/>
      <c r="I10" s="93" t="s">
        <v>162</v>
      </c>
      <c r="J10" s="40"/>
      <c r="K10" s="40"/>
      <c r="L10" s="40"/>
    </row>
    <row r="11" spans="1:12" ht="43.5" x14ac:dyDescent="0.35">
      <c r="A11" s="94" t="s">
        <v>163</v>
      </c>
      <c r="B11" s="97" t="s">
        <v>164</v>
      </c>
      <c r="C11" s="98" t="s">
        <v>165</v>
      </c>
      <c r="D11" s="100" t="s">
        <v>166</v>
      </c>
      <c r="E11" s="99" t="s">
        <v>128</v>
      </c>
      <c r="F11" s="88" t="s">
        <v>167</v>
      </c>
      <c r="G11" s="98" t="s">
        <v>130</v>
      </c>
      <c r="H11" s="93"/>
      <c r="I11" s="93" t="s">
        <v>168</v>
      </c>
      <c r="J11" s="40"/>
      <c r="K11" s="40"/>
      <c r="L11" s="40"/>
    </row>
    <row r="12" spans="1:12" ht="43.5" x14ac:dyDescent="0.35">
      <c r="A12" s="94" t="s">
        <v>169</v>
      </c>
      <c r="B12" s="97" t="s">
        <v>170</v>
      </c>
      <c r="C12" s="98" t="s">
        <v>171</v>
      </c>
      <c r="D12" s="95" t="s">
        <v>172</v>
      </c>
      <c r="E12" s="99" t="s">
        <v>173</v>
      </c>
      <c r="F12" s="88" t="s">
        <v>174</v>
      </c>
      <c r="G12" s="98" t="s">
        <v>130</v>
      </c>
      <c r="H12" s="93"/>
      <c r="I12" s="93" t="s">
        <v>138</v>
      </c>
      <c r="J12" s="40"/>
      <c r="K12" s="40"/>
      <c r="L12" s="40"/>
    </row>
    <row r="13" spans="1:12" ht="43.5" x14ac:dyDescent="0.35">
      <c r="A13" s="94" t="s">
        <v>175</v>
      </c>
      <c r="B13" s="97" t="s">
        <v>176</v>
      </c>
      <c r="C13" s="98" t="s">
        <v>177</v>
      </c>
      <c r="D13" s="100" t="s">
        <v>178</v>
      </c>
      <c r="E13" s="99" t="s">
        <v>128</v>
      </c>
      <c r="F13" s="88" t="s">
        <v>179</v>
      </c>
      <c r="G13" s="98" t="s">
        <v>130</v>
      </c>
      <c r="H13" s="93"/>
      <c r="I13" s="93" t="s">
        <v>138</v>
      </c>
      <c r="J13" s="40"/>
      <c r="K13" s="40"/>
      <c r="L13" s="40"/>
    </row>
    <row r="14" spans="1:12" ht="29" x14ac:dyDescent="0.35">
      <c r="A14" s="94" t="s">
        <v>180</v>
      </c>
      <c r="B14" s="97" t="s">
        <v>181</v>
      </c>
      <c r="C14" s="98" t="s">
        <v>182</v>
      </c>
      <c r="D14" s="95" t="s">
        <v>183</v>
      </c>
      <c r="E14" s="99" t="s">
        <v>128</v>
      </c>
      <c r="F14" s="88" t="s">
        <v>184</v>
      </c>
      <c r="G14" s="98" t="s">
        <v>130</v>
      </c>
      <c r="H14" s="93"/>
      <c r="I14" s="93" t="s">
        <v>168</v>
      </c>
      <c r="J14" s="40"/>
      <c r="K14" s="40"/>
      <c r="L14" s="40"/>
    </row>
    <row r="15" spans="1:12" ht="43.5" x14ac:dyDescent="0.35">
      <c r="A15" s="94" t="s">
        <v>185</v>
      </c>
      <c r="B15" s="97" t="s">
        <v>186</v>
      </c>
      <c r="C15" s="98" t="s">
        <v>187</v>
      </c>
      <c r="D15" s="95" t="s">
        <v>188</v>
      </c>
      <c r="E15" s="99" t="s">
        <v>188</v>
      </c>
      <c r="F15" s="88" t="s">
        <v>189</v>
      </c>
      <c r="G15" s="98" t="s">
        <v>130</v>
      </c>
      <c r="H15" s="93"/>
      <c r="I15" s="93" t="s">
        <v>131</v>
      </c>
      <c r="J15" s="40"/>
      <c r="K15" s="40"/>
      <c r="L15" s="40"/>
    </row>
    <row r="16" spans="1:12" ht="29" x14ac:dyDescent="0.35">
      <c r="A16" s="94" t="s">
        <v>190</v>
      </c>
      <c r="B16" s="97" t="s">
        <v>191</v>
      </c>
      <c r="C16" s="98" t="s">
        <v>192</v>
      </c>
      <c r="D16" s="95" t="s">
        <v>193</v>
      </c>
      <c r="E16" s="99" t="s">
        <v>193</v>
      </c>
      <c r="F16" s="88" t="s">
        <v>194</v>
      </c>
      <c r="G16" s="98" t="s">
        <v>130</v>
      </c>
      <c r="H16" s="93"/>
      <c r="I16" s="93" t="s">
        <v>131</v>
      </c>
      <c r="J16" s="40"/>
      <c r="K16" s="40"/>
      <c r="L16" s="40"/>
    </row>
    <row r="17" spans="1:12" x14ac:dyDescent="0.35">
      <c r="A17" s="94"/>
      <c r="B17" s="97"/>
      <c r="C17" s="98"/>
      <c r="D17" s="95"/>
      <c r="E17" s="99"/>
      <c r="F17" s="88"/>
      <c r="G17" s="98"/>
      <c r="H17" s="93"/>
      <c r="I17" s="93"/>
      <c r="J17" s="40"/>
      <c r="K17" s="40"/>
      <c r="L17" s="40"/>
    </row>
    <row r="18" spans="1:12" ht="101.5" x14ac:dyDescent="0.35">
      <c r="A18" s="94" t="s">
        <v>195</v>
      </c>
      <c r="B18" s="97"/>
      <c r="C18" s="98"/>
      <c r="D18" s="100"/>
      <c r="E18" s="99"/>
      <c r="F18" s="88"/>
      <c r="G18" s="98"/>
      <c r="H18" s="93"/>
      <c r="I18" s="93"/>
      <c r="J18" s="40"/>
      <c r="K18" s="40"/>
      <c r="L18" s="40"/>
    </row>
    <row r="19" spans="1:12" x14ac:dyDescent="0.35">
      <c r="A19" s="94" t="s">
        <v>196</v>
      </c>
      <c r="B19" s="97" t="s">
        <v>197</v>
      </c>
      <c r="C19" s="98" t="s">
        <v>198</v>
      </c>
      <c r="D19" s="95" t="s">
        <v>199</v>
      </c>
      <c r="E19" s="99" t="s">
        <v>200</v>
      </c>
      <c r="F19" s="88" t="s">
        <v>121</v>
      </c>
      <c r="G19" s="98"/>
      <c r="H19" s="93"/>
      <c r="I19" s="93" t="s">
        <v>122</v>
      </c>
      <c r="J19" s="40" t="s">
        <v>123</v>
      </c>
      <c r="K19" s="40"/>
      <c r="L19" s="40"/>
    </row>
    <row r="20" spans="1:12" ht="29" x14ac:dyDescent="0.35">
      <c r="A20" s="89" t="s">
        <v>201</v>
      </c>
      <c r="B20" s="89" t="s">
        <v>202</v>
      </c>
      <c r="C20" s="89" t="s">
        <v>203</v>
      </c>
      <c r="D20" s="89" t="s">
        <v>204</v>
      </c>
      <c r="E20" s="89" t="s">
        <v>205</v>
      </c>
      <c r="F20" s="89" t="s">
        <v>206</v>
      </c>
      <c r="G20" s="89"/>
      <c r="H20" s="90"/>
      <c r="I20" s="90" t="s">
        <v>145</v>
      </c>
      <c r="J20" s="38"/>
      <c r="K20" s="40"/>
      <c r="L20" s="40"/>
    </row>
    <row r="21" spans="1:12" ht="29" x14ac:dyDescent="0.35">
      <c r="A21" s="94" t="s">
        <v>207</v>
      </c>
      <c r="B21" s="97" t="s">
        <v>202</v>
      </c>
      <c r="C21" s="98" t="s">
        <v>208</v>
      </c>
      <c r="D21" s="95" t="s">
        <v>209</v>
      </c>
      <c r="E21" s="99" t="s">
        <v>205</v>
      </c>
      <c r="F21" s="88" t="s">
        <v>210</v>
      </c>
      <c r="G21" s="98"/>
      <c r="H21" s="93"/>
      <c r="I21" s="93" t="s">
        <v>145</v>
      </c>
      <c r="J21" s="40"/>
      <c r="K21" s="40"/>
      <c r="L21" s="40"/>
    </row>
    <row r="22" spans="1:12" ht="29" x14ac:dyDescent="0.35">
      <c r="A22" s="94" t="s">
        <v>211</v>
      </c>
      <c r="B22" s="97" t="s">
        <v>212</v>
      </c>
      <c r="C22" s="98" t="s">
        <v>213</v>
      </c>
      <c r="D22" s="95" t="s">
        <v>214</v>
      </c>
      <c r="E22" s="99" t="s">
        <v>205</v>
      </c>
      <c r="F22" s="88" t="s">
        <v>215</v>
      </c>
      <c r="G22" s="98"/>
      <c r="H22" s="93"/>
      <c r="I22" s="93" t="s">
        <v>138</v>
      </c>
      <c r="J22" s="40"/>
      <c r="K22" s="40"/>
      <c r="L22" s="40"/>
    </row>
    <row r="23" spans="1:12" ht="29" x14ac:dyDescent="0.35">
      <c r="A23" s="93" t="s">
        <v>216</v>
      </c>
      <c r="B23" s="93" t="s">
        <v>217</v>
      </c>
      <c r="C23" s="93" t="s">
        <v>218</v>
      </c>
      <c r="D23" s="93" t="s">
        <v>219</v>
      </c>
      <c r="E23" s="93" t="s">
        <v>220</v>
      </c>
      <c r="F23" s="93" t="s">
        <v>221</v>
      </c>
      <c r="G23" s="93"/>
      <c r="H23" s="93"/>
      <c r="I23" s="93" t="s">
        <v>138</v>
      </c>
      <c r="J23" s="40"/>
      <c r="K23" s="40"/>
      <c r="L23" s="40"/>
    </row>
    <row r="24" spans="1:12" ht="43.5" x14ac:dyDescent="0.35">
      <c r="A24" s="93" t="s">
        <v>222</v>
      </c>
      <c r="B24" s="93" t="s">
        <v>223</v>
      </c>
      <c r="C24" s="93" t="s">
        <v>224</v>
      </c>
      <c r="D24" s="93" t="s">
        <v>225</v>
      </c>
      <c r="E24" s="93" t="s">
        <v>226</v>
      </c>
      <c r="F24" s="93" t="s">
        <v>227</v>
      </c>
      <c r="G24" s="93"/>
      <c r="H24" s="93"/>
      <c r="I24" s="93" t="s">
        <v>228</v>
      </c>
      <c r="J24" s="40"/>
      <c r="K24" s="40"/>
      <c r="L24" s="40"/>
    </row>
    <row r="25" spans="1:12" x14ac:dyDescent="0.35">
      <c r="A25" s="91" t="s">
        <v>229</v>
      </c>
      <c r="B25" s="86" t="s">
        <v>230</v>
      </c>
      <c r="C25" s="86" t="s">
        <v>231</v>
      </c>
      <c r="D25" s="86" t="s">
        <v>128</v>
      </c>
      <c r="E25" s="86" t="s">
        <v>232</v>
      </c>
      <c r="F25" s="86" t="s">
        <v>233</v>
      </c>
      <c r="G25" s="86"/>
      <c r="H25" s="93"/>
      <c r="I25" s="93" t="s">
        <v>138</v>
      </c>
      <c r="J25" s="40"/>
      <c r="K25" s="40"/>
      <c r="L25" s="40"/>
    </row>
    <row r="26" spans="1:12" x14ac:dyDescent="0.35">
      <c r="A26" s="87"/>
      <c r="B26" s="87"/>
      <c r="C26" s="87"/>
      <c r="D26" s="87"/>
      <c r="E26" s="87"/>
      <c r="F26" s="87"/>
      <c r="G26" s="87"/>
      <c r="H26" s="93"/>
      <c r="I26" s="93"/>
      <c r="J26" s="40"/>
      <c r="K26" s="40"/>
      <c r="L26" s="40"/>
    </row>
    <row r="27" spans="1:12" ht="130.5" x14ac:dyDescent="0.35">
      <c r="A27" s="95" t="s">
        <v>234</v>
      </c>
      <c r="B27" s="95"/>
      <c r="C27" s="95"/>
      <c r="D27" s="95"/>
      <c r="E27" s="95"/>
      <c r="F27" s="93"/>
      <c r="G27" s="93"/>
      <c r="H27" s="93"/>
      <c r="I27" s="93"/>
      <c r="J27" s="40"/>
      <c r="K27" s="40"/>
      <c r="L27" s="40"/>
    </row>
    <row r="28" spans="1:12" ht="325" x14ac:dyDescent="0.35">
      <c r="A28" s="96" t="s">
        <v>235</v>
      </c>
      <c r="B28" s="96"/>
      <c r="C28" s="96"/>
      <c r="D28" s="96"/>
      <c r="E28" s="96"/>
      <c r="F28" s="69"/>
      <c r="G28" s="69"/>
      <c r="H28" s="69"/>
      <c r="I28" s="69"/>
      <c r="J28" s="40"/>
      <c r="K28" s="40"/>
      <c r="L28" s="40"/>
    </row>
    <row r="29" spans="1:12" x14ac:dyDescent="0.35">
      <c r="A29" s="96"/>
      <c r="B29" s="96"/>
      <c r="C29" s="96"/>
      <c r="D29" s="96"/>
      <c r="E29" s="96"/>
      <c r="F29" s="69"/>
      <c r="G29" s="69"/>
      <c r="H29" s="69"/>
      <c r="I29" s="69"/>
      <c r="J29" s="40"/>
      <c r="K29" s="40"/>
      <c r="L29" s="40"/>
    </row>
    <row r="30" spans="1:12" x14ac:dyDescent="0.35">
      <c r="A30" s="96"/>
      <c r="B30" s="96"/>
      <c r="C30" s="96"/>
      <c r="D30" s="96"/>
      <c r="E30" s="96"/>
      <c r="F30" s="69"/>
      <c r="G30" s="69"/>
      <c r="H30" s="69"/>
      <c r="I30" s="69"/>
      <c r="J30" s="40"/>
      <c r="K30" s="40"/>
      <c r="L30" s="40"/>
    </row>
    <row r="31" spans="1:12" x14ac:dyDescent="0.35">
      <c r="A31" s="96"/>
      <c r="B31" s="96"/>
      <c r="C31" s="101"/>
      <c r="D31" s="96"/>
      <c r="E31" s="96"/>
      <c r="F31" s="69"/>
      <c r="G31" s="69"/>
      <c r="H31" s="69"/>
      <c r="I31" s="69"/>
      <c r="J31" s="40"/>
      <c r="K31" s="40"/>
      <c r="L31" s="40"/>
    </row>
    <row r="32" spans="1:12" x14ac:dyDescent="0.35">
      <c r="A32" s="96"/>
      <c r="B32" s="96"/>
      <c r="C32" s="96"/>
      <c r="D32" s="96"/>
      <c r="E32" s="96"/>
      <c r="F32" s="69"/>
      <c r="G32" s="69"/>
      <c r="H32" s="69"/>
      <c r="I32" s="69"/>
      <c r="J32" s="40"/>
      <c r="K32" s="40"/>
      <c r="L32" s="40"/>
    </row>
    <row r="33" spans="1:12" x14ac:dyDescent="0.35">
      <c r="A33" s="96"/>
      <c r="B33" s="96"/>
      <c r="C33" s="96"/>
      <c r="D33" s="96"/>
      <c r="E33" s="96"/>
      <c r="F33" s="69"/>
      <c r="G33" s="69"/>
      <c r="H33" s="69"/>
      <c r="I33" s="69"/>
      <c r="J33" s="40"/>
      <c r="K33" s="40"/>
      <c r="L33" s="40"/>
    </row>
    <row r="34" spans="1:12" x14ac:dyDescent="0.35">
      <c r="A34" s="96"/>
      <c r="B34" s="96"/>
      <c r="C34" s="96"/>
      <c r="D34" s="96"/>
      <c r="E34" s="96"/>
      <c r="F34" s="69"/>
      <c r="G34" s="69"/>
      <c r="H34" s="69"/>
      <c r="I34" s="69"/>
      <c r="J34" s="40"/>
      <c r="K34" s="40"/>
      <c r="L34" s="40"/>
    </row>
    <row r="35" spans="1:12" x14ac:dyDescent="0.35">
      <c r="A35" s="96"/>
      <c r="B35" s="96"/>
      <c r="C35" s="96"/>
      <c r="D35" s="96"/>
      <c r="E35" s="96"/>
      <c r="F35" s="69"/>
      <c r="G35" s="69"/>
      <c r="H35" s="69"/>
      <c r="I35" s="69"/>
      <c r="J35" s="40"/>
      <c r="K35" s="40"/>
      <c r="L35" s="40"/>
    </row>
    <row r="36" spans="1:12" x14ac:dyDescent="0.35">
      <c r="A36" s="96"/>
      <c r="B36" s="96"/>
      <c r="C36" s="96"/>
      <c r="D36" s="96"/>
      <c r="E36" s="96"/>
      <c r="F36" s="69"/>
      <c r="G36" s="69"/>
      <c r="H36" s="69"/>
      <c r="I36" s="69"/>
      <c r="J36" s="40"/>
      <c r="K36" s="40"/>
      <c r="L36" s="40"/>
    </row>
    <row r="37" spans="1:12" x14ac:dyDescent="0.35">
      <c r="A37" s="69"/>
      <c r="B37" s="69"/>
      <c r="C37" s="69"/>
      <c r="D37" s="69"/>
      <c r="E37" s="69"/>
      <c r="F37" s="69"/>
      <c r="G37" s="69"/>
      <c r="H37" s="69"/>
      <c r="I37" s="69"/>
      <c r="J37" s="40"/>
      <c r="K37" s="40"/>
      <c r="L37" s="40"/>
    </row>
    <row r="38" spans="1:12" x14ac:dyDescent="0.35">
      <c r="A38" s="56"/>
      <c r="B38" s="55"/>
      <c r="C38" s="55"/>
      <c r="D38" s="55"/>
      <c r="E38" s="55"/>
      <c r="F38" s="55"/>
      <c r="G38" s="55"/>
      <c r="H38" s="69"/>
      <c r="I38" s="69"/>
      <c r="J38" s="40"/>
      <c r="K38" s="40"/>
      <c r="L38" s="40"/>
    </row>
    <row r="39" spans="1:12" ht="24" customHeight="1" x14ac:dyDescent="0.35">
      <c r="A39" s="54"/>
      <c r="B39" s="55"/>
      <c r="C39" s="55"/>
      <c r="D39" s="55"/>
      <c r="E39" s="55"/>
      <c r="F39" s="55"/>
      <c r="G39" s="55"/>
      <c r="H39" s="69"/>
      <c r="I39" s="69"/>
      <c r="J39" s="40"/>
      <c r="K39" s="40"/>
      <c r="L39" s="40"/>
    </row>
    <row r="40" spans="1:12" x14ac:dyDescent="0.35">
      <c r="A40" s="69"/>
      <c r="B40" s="69"/>
      <c r="C40" s="69"/>
      <c r="D40" s="69"/>
      <c r="E40" s="69"/>
      <c r="F40" s="69"/>
      <c r="G40" s="69"/>
      <c r="H40" s="69"/>
      <c r="I40" s="69"/>
      <c r="J40" s="40"/>
      <c r="K40" s="40"/>
      <c r="L40" s="40"/>
    </row>
    <row r="41" spans="1:12" x14ac:dyDescent="0.35">
      <c r="A41" s="69"/>
      <c r="B41" s="69"/>
      <c r="C41" s="69"/>
      <c r="D41" s="69"/>
      <c r="E41" s="69"/>
      <c r="F41" s="69"/>
      <c r="G41" s="69"/>
      <c r="H41" s="69"/>
      <c r="I41" s="69"/>
      <c r="J41" s="40"/>
      <c r="K41" s="40"/>
      <c r="L41" s="40"/>
    </row>
    <row r="42" spans="1:12" x14ac:dyDescent="0.35">
      <c r="A42" s="69"/>
      <c r="B42" s="69"/>
      <c r="C42" s="69"/>
      <c r="D42" s="69"/>
      <c r="E42" s="69"/>
      <c r="F42" s="69"/>
      <c r="G42" s="69"/>
      <c r="H42" s="69"/>
      <c r="I42" s="69"/>
      <c r="J42" s="40"/>
      <c r="K42" s="40"/>
      <c r="L42" s="40"/>
    </row>
    <row r="43" spans="1:12" x14ac:dyDescent="0.35">
      <c r="A43" s="69"/>
      <c r="B43" s="69"/>
      <c r="C43" s="69"/>
      <c r="D43" s="69"/>
      <c r="E43" s="69"/>
      <c r="F43" s="69"/>
      <c r="G43" s="69"/>
      <c r="H43" s="69"/>
      <c r="I43" s="69"/>
      <c r="J43" s="40"/>
      <c r="K43" s="40"/>
      <c r="L43" s="40"/>
    </row>
    <row r="44" spans="1:12" x14ac:dyDescent="0.35">
      <c r="A44" s="69"/>
      <c r="B44" s="69"/>
      <c r="C44" s="69"/>
      <c r="D44" s="69"/>
      <c r="E44" s="69"/>
      <c r="F44" s="69"/>
      <c r="G44" s="69"/>
      <c r="H44" s="69"/>
      <c r="I44" s="69"/>
      <c r="J44" s="40"/>
      <c r="K44" s="40"/>
      <c r="L44" s="40"/>
    </row>
    <row r="45" spans="1:12" x14ac:dyDescent="0.35">
      <c r="A45" s="69"/>
      <c r="B45" s="69"/>
      <c r="C45" s="69"/>
      <c r="D45" s="69"/>
      <c r="E45" s="69"/>
      <c r="F45" s="69"/>
      <c r="G45" s="69"/>
      <c r="H45" s="69"/>
      <c r="I45" s="69"/>
      <c r="J45" s="40"/>
      <c r="K45" s="40"/>
      <c r="L45" s="40"/>
    </row>
    <row r="46" spans="1:12" x14ac:dyDescent="0.35">
      <c r="A46" s="69"/>
      <c r="B46" s="69"/>
      <c r="C46" s="69"/>
      <c r="D46" s="69"/>
      <c r="E46" s="69"/>
      <c r="F46" s="69"/>
      <c r="G46" s="69"/>
      <c r="H46" s="69"/>
      <c r="I46" s="69"/>
      <c r="J46" s="40"/>
      <c r="K46" s="40"/>
      <c r="L46" s="40"/>
    </row>
    <row r="47" spans="1:12" x14ac:dyDescent="0.35">
      <c r="A47" s="69"/>
      <c r="B47" s="69"/>
      <c r="C47" s="69"/>
      <c r="D47" s="69"/>
      <c r="E47" s="69"/>
      <c r="F47" s="69"/>
      <c r="G47" s="69"/>
      <c r="H47" s="69"/>
      <c r="I47" s="69"/>
      <c r="J47" s="40"/>
      <c r="K47" s="40"/>
      <c r="L47" s="40"/>
    </row>
    <row r="48" spans="1:12" x14ac:dyDescent="0.35">
      <c r="A48" s="69"/>
      <c r="B48" s="69"/>
      <c r="C48" s="69"/>
      <c r="D48" s="69"/>
      <c r="E48" s="69"/>
      <c r="F48" s="69"/>
      <c r="G48" s="69"/>
      <c r="H48" s="69"/>
      <c r="I48" s="69"/>
      <c r="J48" s="40"/>
      <c r="K48" s="40"/>
      <c r="L48" s="40"/>
    </row>
    <row r="49" spans="1:12" x14ac:dyDescent="0.35">
      <c r="A49" s="69"/>
      <c r="B49" s="69"/>
      <c r="C49" s="69"/>
      <c r="D49" s="69"/>
      <c r="E49" s="69"/>
      <c r="F49" s="69"/>
      <c r="G49" s="69"/>
      <c r="H49" s="69"/>
      <c r="I49" s="69"/>
      <c r="J49" s="40"/>
      <c r="K49" s="40"/>
      <c r="L49" s="40"/>
    </row>
    <row r="50" spans="1:12" x14ac:dyDescent="0.35">
      <c r="A50" s="69"/>
      <c r="B50" s="69"/>
      <c r="C50" s="69"/>
      <c r="D50" s="69"/>
      <c r="E50" s="69"/>
      <c r="F50" s="69"/>
      <c r="G50" s="69"/>
      <c r="H50" s="69"/>
      <c r="I50" s="69"/>
      <c r="J50" s="40"/>
      <c r="K50" s="40"/>
      <c r="L50" s="40"/>
    </row>
    <row r="51" spans="1:12" x14ac:dyDescent="0.35">
      <c r="A51" s="69"/>
      <c r="B51" s="69"/>
      <c r="C51" s="69"/>
      <c r="D51" s="69"/>
      <c r="E51" s="69"/>
      <c r="F51" s="69"/>
      <c r="G51" s="69"/>
      <c r="H51" s="69"/>
      <c r="I51" s="69"/>
      <c r="J51" s="40"/>
      <c r="K51" s="40"/>
      <c r="L51" s="40"/>
    </row>
    <row r="52" spans="1:12" x14ac:dyDescent="0.35">
      <c r="A52" s="69"/>
      <c r="B52" s="69"/>
      <c r="C52" s="69"/>
      <c r="D52" s="69"/>
      <c r="E52" s="69"/>
      <c r="F52" s="69"/>
      <c r="G52" s="69"/>
      <c r="H52" s="69"/>
      <c r="I52" s="69"/>
      <c r="J52" s="40"/>
      <c r="K52" s="40"/>
      <c r="L52" s="40"/>
    </row>
    <row r="53" spans="1:12" x14ac:dyDescent="0.35">
      <c r="A53" s="69"/>
      <c r="B53" s="69"/>
      <c r="C53" s="69"/>
      <c r="D53" s="69"/>
      <c r="E53" s="69"/>
      <c r="F53" s="69"/>
      <c r="G53" s="69"/>
      <c r="H53" s="69"/>
      <c r="I53" s="69"/>
      <c r="J53" s="40"/>
      <c r="K53" s="40"/>
      <c r="L53" s="40"/>
    </row>
    <row r="54" spans="1:12" x14ac:dyDescent="0.35">
      <c r="A54" s="69"/>
      <c r="B54" s="69"/>
      <c r="C54" s="69"/>
      <c r="D54" s="69"/>
      <c r="E54" s="69"/>
      <c r="F54" s="69"/>
      <c r="G54" s="69"/>
      <c r="H54" s="69"/>
      <c r="I54" s="69"/>
      <c r="J54" s="40"/>
      <c r="K54" s="40"/>
      <c r="L54" s="40"/>
    </row>
    <row r="55" spans="1:12" x14ac:dyDescent="0.35">
      <c r="A55" s="69"/>
      <c r="B55" s="69"/>
      <c r="C55" s="69"/>
      <c r="D55" s="69"/>
      <c r="E55" s="69"/>
      <c r="F55" s="69"/>
      <c r="G55" s="69"/>
      <c r="H55" s="69"/>
      <c r="I55" s="69"/>
      <c r="J55" s="40"/>
      <c r="K55" s="40"/>
      <c r="L55" s="40"/>
    </row>
    <row r="56" spans="1:12" x14ac:dyDescent="0.35">
      <c r="A56" s="69"/>
      <c r="B56" s="69"/>
      <c r="C56" s="69"/>
      <c r="D56" s="69"/>
      <c r="E56" s="69"/>
      <c r="F56" s="69"/>
      <c r="G56" s="69"/>
      <c r="H56" s="69"/>
      <c r="I56" s="69"/>
      <c r="J56" s="40"/>
      <c r="K56" s="40"/>
      <c r="L56" s="40"/>
    </row>
    <row r="57" spans="1:12" x14ac:dyDescent="0.35">
      <c r="A57" s="69"/>
      <c r="B57" s="69"/>
      <c r="C57" s="69"/>
      <c r="D57" s="69"/>
      <c r="E57" s="69"/>
      <c r="F57" s="69"/>
      <c r="G57" s="69"/>
      <c r="H57" s="69"/>
      <c r="I57" s="69"/>
      <c r="J57" s="40"/>
      <c r="K57" s="40"/>
      <c r="L57" s="40"/>
    </row>
    <row r="58" spans="1:12" x14ac:dyDescent="0.35">
      <c r="A58" s="69"/>
      <c r="B58" s="69"/>
      <c r="C58" s="69"/>
      <c r="D58" s="69"/>
      <c r="E58" s="69"/>
      <c r="F58" s="69"/>
      <c r="G58" s="69"/>
      <c r="H58" s="69"/>
      <c r="I58" s="69"/>
      <c r="J58" s="40"/>
      <c r="K58" s="40"/>
      <c r="L58" s="40"/>
    </row>
    <row r="59" spans="1:12" x14ac:dyDescent="0.35">
      <c r="A59" s="69"/>
      <c r="B59" s="69"/>
      <c r="C59" s="69"/>
      <c r="D59" s="69"/>
      <c r="E59" s="69"/>
      <c r="F59" s="69"/>
      <c r="G59" s="69"/>
      <c r="H59" s="69"/>
      <c r="I59" s="69"/>
      <c r="J59" s="40"/>
      <c r="K59" s="40"/>
      <c r="L59" s="40"/>
    </row>
    <row r="60" spans="1:12" x14ac:dyDescent="0.35">
      <c r="A60" s="69"/>
      <c r="B60" s="69"/>
      <c r="C60" s="69"/>
      <c r="D60" s="69"/>
      <c r="E60" s="69"/>
      <c r="F60" s="69"/>
      <c r="G60" s="69"/>
      <c r="H60" s="69"/>
      <c r="I60" s="69"/>
      <c r="J60" s="40"/>
      <c r="K60" s="40"/>
      <c r="L60" s="40"/>
    </row>
  </sheetData>
  <mergeCells count="5">
    <mergeCell ref="A39:G39"/>
    <mergeCell ref="A4:G4"/>
    <mergeCell ref="A38:G38"/>
    <mergeCell ref="A25:G25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workbookViewId="0"/>
  </sheetViews>
  <sheetFormatPr defaultRowHeight="14.5" x14ac:dyDescent="0.35"/>
  <cols>
    <col min="1" max="1" width="20" customWidth="1"/>
    <col min="2" max="2" width="18" customWidth="1"/>
    <col min="3" max="3" width="45" customWidth="1"/>
    <col min="4" max="4" width="22" customWidth="1"/>
    <col min="5" max="5" width="28" customWidth="1"/>
    <col min="6" max="6" width="35" customWidth="1"/>
    <col min="7" max="7" width="18" customWidth="1"/>
    <col min="8" max="8" width="22" customWidth="1"/>
    <col min="9" max="9" width="35" customWidth="1"/>
    <col min="10" max="10" width="16" customWidth="1"/>
    <col min="11" max="12" width="20" customWidth="1"/>
  </cols>
  <sheetData>
    <row r="1" spans="1:12" ht="21" x14ac:dyDescent="0.5">
      <c r="A1" s="1" t="s">
        <v>236</v>
      </c>
      <c r="K1" s="47" t="s">
        <v>1</v>
      </c>
      <c r="L1" s="48" t="s">
        <v>2</v>
      </c>
    </row>
    <row r="2" spans="1:12" x14ac:dyDescent="0.35">
      <c r="A2" s="2" t="s">
        <v>237</v>
      </c>
    </row>
    <row r="4" spans="1:12" x14ac:dyDescent="0.35">
      <c r="A4" s="6" t="s">
        <v>238</v>
      </c>
      <c r="B4" s="6" t="s">
        <v>239</v>
      </c>
      <c r="C4" s="6" t="s">
        <v>240</v>
      </c>
      <c r="D4" s="6" t="s">
        <v>241</v>
      </c>
      <c r="E4" s="6" t="s">
        <v>242</v>
      </c>
      <c r="F4" s="6" t="s">
        <v>243</v>
      </c>
      <c r="G4" s="6" t="s">
        <v>244</v>
      </c>
      <c r="H4" s="6" t="s">
        <v>122</v>
      </c>
      <c r="I4" s="6" t="s">
        <v>245</v>
      </c>
      <c r="J4" s="6" t="s">
        <v>246</v>
      </c>
    </row>
    <row r="5" spans="1:12" ht="40" customHeight="1" x14ac:dyDescent="0.35">
      <c r="A5" s="10" t="s">
        <v>247</v>
      </c>
      <c r="B5" s="10" t="s">
        <v>248</v>
      </c>
      <c r="C5" s="10" t="s">
        <v>249</v>
      </c>
      <c r="D5" s="10" t="s">
        <v>61</v>
      </c>
      <c r="E5" s="10" t="s">
        <v>250</v>
      </c>
      <c r="F5" s="10" t="s">
        <v>251</v>
      </c>
      <c r="G5" s="10" t="s">
        <v>252</v>
      </c>
      <c r="H5" s="10" t="s">
        <v>131</v>
      </c>
      <c r="I5" s="10" t="s">
        <v>253</v>
      </c>
      <c r="J5" s="10" t="s">
        <v>254</v>
      </c>
    </row>
    <row r="6" spans="1:12" ht="40" customHeight="1" x14ac:dyDescent="0.35">
      <c r="A6" s="10" t="s">
        <v>255</v>
      </c>
      <c r="B6" s="10" t="s">
        <v>256</v>
      </c>
      <c r="C6" s="10" t="s">
        <v>257</v>
      </c>
      <c r="D6" s="10" t="s">
        <v>258</v>
      </c>
      <c r="E6" s="10" t="s">
        <v>259</v>
      </c>
      <c r="F6" s="10" t="s">
        <v>260</v>
      </c>
      <c r="G6" s="10" t="s">
        <v>261</v>
      </c>
      <c r="H6" s="10" t="s">
        <v>138</v>
      </c>
      <c r="I6" s="10" t="s">
        <v>262</v>
      </c>
      <c r="J6" s="10" t="s">
        <v>263</v>
      </c>
    </row>
    <row r="7" spans="1:12" ht="40" customHeight="1" x14ac:dyDescent="0.35">
      <c r="A7" s="10" t="s">
        <v>264</v>
      </c>
      <c r="B7" s="10" t="s">
        <v>265</v>
      </c>
      <c r="C7" s="10" t="s">
        <v>266</v>
      </c>
      <c r="D7" s="10" t="s">
        <v>267</v>
      </c>
      <c r="E7" s="10" t="s">
        <v>268</v>
      </c>
      <c r="F7" s="10" t="s">
        <v>269</v>
      </c>
      <c r="G7" s="10" t="s">
        <v>270</v>
      </c>
      <c r="H7" s="10" t="s">
        <v>271</v>
      </c>
      <c r="I7" s="10" t="s">
        <v>272</v>
      </c>
      <c r="J7" s="10" t="s">
        <v>273</v>
      </c>
    </row>
    <row r="8" spans="1:12" ht="40" customHeight="1" x14ac:dyDescent="0.35">
      <c r="A8" s="10" t="s">
        <v>274</v>
      </c>
      <c r="B8" s="10" t="s">
        <v>275</v>
      </c>
      <c r="C8" s="10" t="s">
        <v>276</v>
      </c>
      <c r="D8" s="11" t="str">
        <f ca="1">30&amp;"–60 min · HR ~"&amp;'01_Personal_Settings'!B23&amp;" bpm"</f>
        <v>30–60 min · HR ~116 bpm</v>
      </c>
      <c r="E8" s="10" t="s">
        <v>277</v>
      </c>
      <c r="F8" s="10" t="s">
        <v>278</v>
      </c>
      <c r="G8" s="10" t="s">
        <v>279</v>
      </c>
      <c r="H8" s="10" t="s">
        <v>271</v>
      </c>
      <c r="I8" s="10" t="s">
        <v>280</v>
      </c>
      <c r="J8" s="10" t="s">
        <v>254</v>
      </c>
    </row>
    <row r="9" spans="1:12" ht="40" customHeight="1" x14ac:dyDescent="0.35">
      <c r="A9" s="10" t="s">
        <v>281</v>
      </c>
      <c r="B9" s="10" t="s">
        <v>282</v>
      </c>
      <c r="C9" s="10" t="s">
        <v>283</v>
      </c>
      <c r="D9" s="11" t="str">
        <f ca="1">30&amp;" min total · interval HR "&amp;'01_Personal_Settings'!B24&amp;" bpm"</f>
        <v>30 min total · interval HR 149 bpm</v>
      </c>
      <c r="E9" s="10" t="s">
        <v>284</v>
      </c>
      <c r="F9" s="10" t="s">
        <v>285</v>
      </c>
      <c r="G9" s="10" t="s">
        <v>286</v>
      </c>
      <c r="H9" s="10" t="s">
        <v>287</v>
      </c>
      <c r="I9" s="10" t="s">
        <v>288</v>
      </c>
      <c r="J9" s="10" t="s">
        <v>289</v>
      </c>
    </row>
    <row r="10" spans="1:12" ht="40" customHeight="1" x14ac:dyDescent="0.35">
      <c r="A10" s="10" t="s">
        <v>290</v>
      </c>
      <c r="B10" s="10" t="s">
        <v>291</v>
      </c>
      <c r="C10" s="10" t="s">
        <v>292</v>
      </c>
      <c r="D10" s="10" t="s">
        <v>293</v>
      </c>
      <c r="E10" s="10" t="s">
        <v>294</v>
      </c>
      <c r="F10" s="10" t="s">
        <v>295</v>
      </c>
      <c r="G10" s="10" t="s">
        <v>222</v>
      </c>
      <c r="H10" s="10" t="s">
        <v>138</v>
      </c>
      <c r="I10" s="10" t="s">
        <v>296</v>
      </c>
      <c r="J10" s="10" t="s">
        <v>297</v>
      </c>
    </row>
    <row r="11" spans="1:12" ht="40" customHeight="1" x14ac:dyDescent="0.35">
      <c r="A11" s="10" t="s">
        <v>298</v>
      </c>
      <c r="B11" s="10" t="s">
        <v>299</v>
      </c>
      <c r="C11" s="10" t="s">
        <v>300</v>
      </c>
      <c r="D11" s="11" t="str">
        <f>ROUND('01_Personal_Settings'!B20,0)&amp;" g protein"</f>
        <v>24 g protein</v>
      </c>
      <c r="E11" s="10" t="s">
        <v>301</v>
      </c>
      <c r="F11" s="10" t="s">
        <v>302</v>
      </c>
      <c r="G11" s="10" t="s">
        <v>303</v>
      </c>
      <c r="H11" s="10" t="s">
        <v>304</v>
      </c>
      <c r="I11" s="10" t="s">
        <v>305</v>
      </c>
      <c r="J11" s="10" t="s">
        <v>306</v>
      </c>
    </row>
    <row r="12" spans="1:12" ht="40" customHeight="1" x14ac:dyDescent="0.35">
      <c r="A12" s="10" t="s">
        <v>307</v>
      </c>
      <c r="B12" s="10" t="s">
        <v>308</v>
      </c>
      <c r="C12" s="10" t="s">
        <v>309</v>
      </c>
      <c r="D12" s="11" t="str">
        <f>ROUND('01_Personal_Settings'!B20,0)&amp;" g protein + 10 min walk"</f>
        <v>24 g protein + 10 min walk</v>
      </c>
      <c r="E12" s="10" t="s">
        <v>310</v>
      </c>
      <c r="F12" s="10" t="s">
        <v>311</v>
      </c>
      <c r="G12" s="10" t="s">
        <v>312</v>
      </c>
      <c r="H12" s="10" t="s">
        <v>168</v>
      </c>
      <c r="I12" s="10" t="s">
        <v>313</v>
      </c>
      <c r="J12" s="10" t="s">
        <v>254</v>
      </c>
    </row>
    <row r="13" spans="1:12" ht="40" customHeight="1" x14ac:dyDescent="0.35">
      <c r="A13" s="10" t="s">
        <v>314</v>
      </c>
      <c r="B13" s="10" t="s">
        <v>315</v>
      </c>
      <c r="C13" s="10" t="s">
        <v>316</v>
      </c>
      <c r="D13" s="10" t="s">
        <v>317</v>
      </c>
      <c r="E13" s="10" t="s">
        <v>318</v>
      </c>
      <c r="F13" s="10" t="s">
        <v>319</v>
      </c>
      <c r="G13" s="10" t="s">
        <v>320</v>
      </c>
      <c r="H13" s="10" t="s">
        <v>321</v>
      </c>
      <c r="I13" s="10" t="s">
        <v>322</v>
      </c>
      <c r="J13" s="10" t="s">
        <v>323</v>
      </c>
    </row>
    <row r="14" spans="1:12" ht="40" customHeight="1" x14ac:dyDescent="0.35">
      <c r="A14" s="10" t="s">
        <v>324</v>
      </c>
      <c r="B14" s="10" t="s">
        <v>325</v>
      </c>
      <c r="C14" s="10" t="s">
        <v>326</v>
      </c>
      <c r="D14" s="10" t="s">
        <v>187</v>
      </c>
      <c r="E14" s="10" t="s">
        <v>327</v>
      </c>
      <c r="F14" s="10" t="s">
        <v>328</v>
      </c>
      <c r="G14" s="10" t="s">
        <v>329</v>
      </c>
      <c r="H14" s="10" t="s">
        <v>330</v>
      </c>
      <c r="I14" s="10" t="s">
        <v>331</v>
      </c>
      <c r="J14" s="10" t="s">
        <v>332</v>
      </c>
    </row>
    <row r="15" spans="1:12" ht="40" customHeight="1" x14ac:dyDescent="0.35">
      <c r="A15" s="10" t="s">
        <v>333</v>
      </c>
      <c r="B15" s="10" t="s">
        <v>334</v>
      </c>
      <c r="C15" s="10" t="s">
        <v>335</v>
      </c>
      <c r="D15" s="10" t="s">
        <v>336</v>
      </c>
      <c r="E15" s="10" t="s">
        <v>337</v>
      </c>
      <c r="F15" s="10" t="s">
        <v>338</v>
      </c>
      <c r="G15" s="10" t="s">
        <v>339</v>
      </c>
      <c r="H15" s="10" t="s">
        <v>340</v>
      </c>
      <c r="I15" s="10" t="s">
        <v>341</v>
      </c>
      <c r="J15" s="10" t="s">
        <v>342</v>
      </c>
    </row>
    <row r="16" spans="1:12" ht="40" customHeight="1" x14ac:dyDescent="0.35">
      <c r="A16" s="10" t="s">
        <v>343</v>
      </c>
      <c r="B16" s="10" t="s">
        <v>344</v>
      </c>
      <c r="C16" s="10" t="s">
        <v>345</v>
      </c>
      <c r="D16" s="11" t="str">
        <f>ROUND('01_Personal_Settings'!B20,0)&amp;" g protein"</f>
        <v>24 g protein</v>
      </c>
      <c r="E16" s="10" t="s">
        <v>346</v>
      </c>
      <c r="F16" s="10" t="s">
        <v>347</v>
      </c>
      <c r="G16" s="10" t="s">
        <v>348</v>
      </c>
      <c r="H16" s="10" t="s">
        <v>349</v>
      </c>
      <c r="I16" s="10" t="s">
        <v>350</v>
      </c>
      <c r="J16" s="10" t="s">
        <v>254</v>
      </c>
    </row>
    <row r="17" spans="1:10" ht="40" customHeight="1" x14ac:dyDescent="0.35">
      <c r="A17" s="10" t="s">
        <v>351</v>
      </c>
      <c r="B17" s="10" t="s">
        <v>352</v>
      </c>
      <c r="C17" s="10" t="s">
        <v>353</v>
      </c>
      <c r="D17" s="10" t="s">
        <v>354</v>
      </c>
      <c r="E17" s="10" t="s">
        <v>355</v>
      </c>
      <c r="F17" s="10" t="s">
        <v>356</v>
      </c>
      <c r="G17" s="10" t="s">
        <v>357</v>
      </c>
      <c r="H17" s="10" t="s">
        <v>358</v>
      </c>
      <c r="I17" s="10" t="s">
        <v>359</v>
      </c>
      <c r="J17" s="10" t="s">
        <v>342</v>
      </c>
    </row>
    <row r="18" spans="1:10" ht="40" customHeight="1" x14ac:dyDescent="0.35">
      <c r="A18" s="10" t="s">
        <v>360</v>
      </c>
      <c r="B18" s="10" t="s">
        <v>361</v>
      </c>
      <c r="C18" s="10" t="s">
        <v>362</v>
      </c>
      <c r="D18" s="10" t="s">
        <v>336</v>
      </c>
      <c r="E18" s="10" t="s">
        <v>363</v>
      </c>
      <c r="F18" s="10" t="s">
        <v>364</v>
      </c>
      <c r="G18" s="10" t="s">
        <v>365</v>
      </c>
      <c r="H18" s="10" t="s">
        <v>366</v>
      </c>
      <c r="I18" s="10" t="s">
        <v>367</v>
      </c>
      <c r="J18" s="10" t="s">
        <v>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workbookViewId="0"/>
  </sheetViews>
  <sheetFormatPr defaultRowHeight="14.5" x14ac:dyDescent="0.35"/>
  <cols>
    <col min="1" max="1" width="22" customWidth="1"/>
    <col min="2" max="2" width="18" customWidth="1"/>
    <col min="3" max="3" width="16" customWidth="1"/>
    <col min="4" max="4" width="50" customWidth="1"/>
    <col min="5" max="5" width="32" customWidth="1"/>
    <col min="6" max="6" width="50" customWidth="1"/>
    <col min="7" max="7" width="28" customWidth="1"/>
    <col min="8" max="8" width="35" customWidth="1"/>
    <col min="9" max="9" width="24" customWidth="1"/>
    <col min="10" max="12" width="20" customWidth="1"/>
  </cols>
  <sheetData>
    <row r="1" spans="1:12" ht="21" x14ac:dyDescent="0.5">
      <c r="A1" s="1" t="s">
        <v>368</v>
      </c>
      <c r="K1" s="47" t="s">
        <v>1</v>
      </c>
      <c r="L1" s="48" t="s">
        <v>2</v>
      </c>
    </row>
    <row r="2" spans="1:12" x14ac:dyDescent="0.35">
      <c r="A2" s="2" t="s">
        <v>369</v>
      </c>
    </row>
    <row r="4" spans="1:12" x14ac:dyDescent="0.35">
      <c r="A4" s="6" t="s">
        <v>370</v>
      </c>
      <c r="B4" s="6" t="s">
        <v>196</v>
      </c>
      <c r="C4" s="6" t="s">
        <v>239</v>
      </c>
      <c r="D4" s="6" t="s">
        <v>371</v>
      </c>
      <c r="E4" s="6" t="s">
        <v>372</v>
      </c>
      <c r="F4" s="6" t="s">
        <v>373</v>
      </c>
      <c r="G4" s="6" t="s">
        <v>374</v>
      </c>
      <c r="H4" s="6" t="s">
        <v>375</v>
      </c>
      <c r="I4" s="6" t="s">
        <v>122</v>
      </c>
      <c r="J4" s="6" t="s">
        <v>246</v>
      </c>
    </row>
    <row r="5" spans="1:12" ht="66.650000000000006" customHeight="1" x14ac:dyDescent="0.35">
      <c r="A5" s="10" t="s">
        <v>376</v>
      </c>
      <c r="B5" s="10" t="s">
        <v>377</v>
      </c>
      <c r="C5" s="10" t="s">
        <v>61</v>
      </c>
      <c r="D5" s="10" t="s">
        <v>378</v>
      </c>
      <c r="E5" s="10" t="s">
        <v>379</v>
      </c>
      <c r="F5" s="10" t="s">
        <v>380</v>
      </c>
      <c r="G5" s="10" t="s">
        <v>381</v>
      </c>
      <c r="H5" s="10" t="s">
        <v>382</v>
      </c>
      <c r="I5" s="10" t="s">
        <v>383</v>
      </c>
      <c r="J5" s="10" t="s">
        <v>342</v>
      </c>
    </row>
    <row r="6" spans="1:12" ht="66.650000000000006" customHeight="1" x14ac:dyDescent="0.35">
      <c r="A6" s="10" t="s">
        <v>384</v>
      </c>
      <c r="B6" s="10" t="s">
        <v>385</v>
      </c>
      <c r="C6" s="10" t="s">
        <v>275</v>
      </c>
      <c r="D6" s="10" t="s">
        <v>386</v>
      </c>
      <c r="E6" s="10" t="s">
        <v>387</v>
      </c>
      <c r="F6" s="10" t="s">
        <v>388</v>
      </c>
      <c r="G6" s="10" t="s">
        <v>389</v>
      </c>
      <c r="H6" s="10" t="s">
        <v>390</v>
      </c>
      <c r="I6" s="10" t="s">
        <v>391</v>
      </c>
      <c r="J6" s="10" t="s">
        <v>263</v>
      </c>
    </row>
    <row r="7" spans="1:12" ht="66.650000000000006" customHeight="1" x14ac:dyDescent="0.35">
      <c r="A7" s="10" t="s">
        <v>392</v>
      </c>
      <c r="B7" s="10" t="s">
        <v>385</v>
      </c>
      <c r="C7" s="10" t="s">
        <v>393</v>
      </c>
      <c r="D7" s="10" t="s">
        <v>394</v>
      </c>
      <c r="E7" s="10" t="s">
        <v>395</v>
      </c>
      <c r="F7" s="10" t="s">
        <v>396</v>
      </c>
      <c r="G7" s="10" t="s">
        <v>397</v>
      </c>
      <c r="H7" s="10" t="s">
        <v>398</v>
      </c>
      <c r="I7" s="10" t="s">
        <v>399</v>
      </c>
      <c r="J7" s="10" t="s">
        <v>289</v>
      </c>
    </row>
    <row r="8" spans="1:12" ht="66.650000000000006" customHeight="1" x14ac:dyDescent="0.35">
      <c r="A8" s="10" t="s">
        <v>400</v>
      </c>
      <c r="B8" s="10" t="s">
        <v>401</v>
      </c>
      <c r="C8" s="10" t="s">
        <v>265</v>
      </c>
      <c r="D8" s="10" t="s">
        <v>402</v>
      </c>
      <c r="E8" s="10" t="s">
        <v>403</v>
      </c>
      <c r="F8" s="10" t="s">
        <v>404</v>
      </c>
      <c r="G8" s="10" t="s">
        <v>405</v>
      </c>
      <c r="H8" s="10" t="s">
        <v>406</v>
      </c>
      <c r="I8" s="10" t="s">
        <v>407</v>
      </c>
      <c r="J8" s="10" t="s">
        <v>273</v>
      </c>
    </row>
    <row r="9" spans="1:12" ht="66.650000000000006" customHeight="1" x14ac:dyDescent="0.35">
      <c r="A9" s="10" t="s">
        <v>408</v>
      </c>
      <c r="B9" s="10" t="s">
        <v>401</v>
      </c>
      <c r="C9" s="10" t="s">
        <v>409</v>
      </c>
      <c r="D9" s="10" t="s">
        <v>410</v>
      </c>
      <c r="E9" s="10" t="s">
        <v>411</v>
      </c>
      <c r="F9" s="10" t="s">
        <v>412</v>
      </c>
      <c r="G9" s="10" t="s">
        <v>413</v>
      </c>
      <c r="H9" s="10" t="s">
        <v>414</v>
      </c>
      <c r="I9" s="10" t="s">
        <v>415</v>
      </c>
      <c r="J9" s="10" t="s">
        <v>416</v>
      </c>
    </row>
    <row r="10" spans="1:12" ht="66.650000000000006" customHeight="1" x14ac:dyDescent="0.35">
      <c r="A10" s="10" t="s">
        <v>417</v>
      </c>
      <c r="B10" s="10" t="s">
        <v>401</v>
      </c>
      <c r="C10" s="10" t="s">
        <v>418</v>
      </c>
      <c r="D10" s="10" t="s">
        <v>419</v>
      </c>
      <c r="E10" s="10" t="s">
        <v>420</v>
      </c>
      <c r="F10" s="10" t="s">
        <v>421</v>
      </c>
      <c r="G10" s="10" t="s">
        <v>422</v>
      </c>
      <c r="H10" s="10" t="s">
        <v>423</v>
      </c>
      <c r="I10" s="10" t="s">
        <v>424</v>
      </c>
      <c r="J10" s="10" t="s">
        <v>297</v>
      </c>
    </row>
    <row r="11" spans="1:12" ht="66.650000000000006" customHeight="1" x14ac:dyDescent="0.35">
      <c r="A11" s="10" t="s">
        <v>425</v>
      </c>
      <c r="B11" s="10" t="s">
        <v>401</v>
      </c>
      <c r="C11" s="10" t="s">
        <v>61</v>
      </c>
      <c r="D11" s="10" t="s">
        <v>426</v>
      </c>
      <c r="E11" s="10" t="s">
        <v>427</v>
      </c>
      <c r="F11" s="10" t="s">
        <v>428</v>
      </c>
      <c r="G11" s="10" t="s">
        <v>429</v>
      </c>
      <c r="H11" s="10" t="s">
        <v>430</v>
      </c>
      <c r="I11" s="10" t="s">
        <v>138</v>
      </c>
      <c r="J11" s="10" t="s">
        <v>431</v>
      </c>
    </row>
    <row r="12" spans="1:12" ht="66.650000000000006" customHeight="1" x14ac:dyDescent="0.35">
      <c r="A12" s="10" t="s">
        <v>432</v>
      </c>
      <c r="B12" s="10" t="s">
        <v>433</v>
      </c>
      <c r="C12" s="10" t="s">
        <v>434</v>
      </c>
      <c r="D12" s="10" t="s">
        <v>435</v>
      </c>
      <c r="E12" s="10" t="s">
        <v>436</v>
      </c>
      <c r="F12" s="10" t="s">
        <v>437</v>
      </c>
      <c r="G12" s="10" t="s">
        <v>438</v>
      </c>
      <c r="H12" s="10" t="s">
        <v>439</v>
      </c>
      <c r="I12" s="10" t="s">
        <v>440</v>
      </c>
      <c r="J12" s="10" t="s">
        <v>306</v>
      </c>
    </row>
    <row r="13" spans="1:12" ht="66.650000000000006" customHeight="1" x14ac:dyDescent="0.35">
      <c r="A13" s="10" t="s">
        <v>441</v>
      </c>
      <c r="B13" s="10" t="s">
        <v>433</v>
      </c>
      <c r="C13" s="10" t="s">
        <v>442</v>
      </c>
      <c r="D13" s="10" t="s">
        <v>443</v>
      </c>
      <c r="E13" s="11" t="str">
        <f>"Daily total: "&amp;'01_Personal_Settings'!B19&amp;" g; per meal: "&amp;'01_Personal_Settings'!B20&amp;" g"</f>
        <v>Daily total: 94 g; per meal: 24 g</v>
      </c>
      <c r="F13" s="10" t="s">
        <v>444</v>
      </c>
      <c r="G13" s="10" t="s">
        <v>445</v>
      </c>
      <c r="H13" s="10" t="s">
        <v>446</v>
      </c>
      <c r="I13" s="10" t="s">
        <v>447</v>
      </c>
      <c r="J13" s="10" t="s">
        <v>306</v>
      </c>
    </row>
    <row r="14" spans="1:12" ht="66.650000000000006" customHeight="1" x14ac:dyDescent="0.35">
      <c r="A14" s="10" t="s">
        <v>448</v>
      </c>
      <c r="B14" s="10" t="s">
        <v>433</v>
      </c>
      <c r="C14" s="10" t="s">
        <v>61</v>
      </c>
      <c r="D14" s="10" t="s">
        <v>449</v>
      </c>
      <c r="E14" s="11" t="str">
        <f>"Target: "&amp;'01_Personal_Settings'!B21&amp;" L/day"</f>
        <v>Target: 1.8 L/day</v>
      </c>
      <c r="F14" s="10" t="s">
        <v>450</v>
      </c>
      <c r="G14" s="10" t="s">
        <v>451</v>
      </c>
      <c r="H14" s="10" t="s">
        <v>452</v>
      </c>
      <c r="I14" s="10" t="s">
        <v>453</v>
      </c>
      <c r="J14" s="10" t="s">
        <v>342</v>
      </c>
    </row>
    <row r="15" spans="1:12" ht="66.650000000000006" customHeight="1" x14ac:dyDescent="0.35">
      <c r="A15" s="10" t="s">
        <v>454</v>
      </c>
      <c r="B15" s="10" t="s">
        <v>433</v>
      </c>
      <c r="C15" s="10" t="s">
        <v>455</v>
      </c>
      <c r="D15" s="10" t="s">
        <v>456</v>
      </c>
      <c r="E15" s="10" t="s">
        <v>457</v>
      </c>
      <c r="F15" s="10" t="s">
        <v>458</v>
      </c>
      <c r="G15" s="10" t="s">
        <v>459</v>
      </c>
      <c r="H15" s="10" t="s">
        <v>460</v>
      </c>
      <c r="I15" s="10" t="s">
        <v>461</v>
      </c>
      <c r="J15" s="10" t="s">
        <v>462</v>
      </c>
    </row>
    <row r="16" spans="1:12" ht="66.650000000000006" customHeight="1" x14ac:dyDescent="0.35">
      <c r="A16" s="10" t="s">
        <v>463</v>
      </c>
      <c r="B16" s="10" t="s">
        <v>464</v>
      </c>
      <c r="C16" s="10" t="s">
        <v>465</v>
      </c>
      <c r="D16" s="10" t="s">
        <v>466</v>
      </c>
      <c r="E16" s="10" t="s">
        <v>467</v>
      </c>
      <c r="F16" s="10" t="s">
        <v>468</v>
      </c>
      <c r="G16" s="10" t="s">
        <v>469</v>
      </c>
      <c r="H16" s="10" t="s">
        <v>470</v>
      </c>
      <c r="I16" s="10" t="s">
        <v>340</v>
      </c>
      <c r="J16" s="10" t="s">
        <v>342</v>
      </c>
    </row>
    <row r="17" spans="1:10" ht="66.650000000000006" customHeight="1" x14ac:dyDescent="0.35">
      <c r="A17" s="10" t="s">
        <v>471</v>
      </c>
      <c r="B17" s="10" t="s">
        <v>464</v>
      </c>
      <c r="C17" s="10" t="s">
        <v>472</v>
      </c>
      <c r="D17" s="10" t="s">
        <v>473</v>
      </c>
      <c r="E17" s="10" t="s">
        <v>474</v>
      </c>
      <c r="F17" s="10" t="s">
        <v>475</v>
      </c>
      <c r="G17" s="10" t="s">
        <v>476</v>
      </c>
      <c r="H17" s="10" t="s">
        <v>477</v>
      </c>
      <c r="I17" s="10" t="s">
        <v>478</v>
      </c>
      <c r="J17" s="10" t="s">
        <v>342</v>
      </c>
    </row>
    <row r="18" spans="1:10" ht="66.650000000000006" customHeight="1" x14ac:dyDescent="0.35">
      <c r="A18" s="10" t="s">
        <v>479</v>
      </c>
      <c r="B18" s="10" t="s">
        <v>480</v>
      </c>
      <c r="C18" s="10" t="s">
        <v>481</v>
      </c>
      <c r="D18" s="10" t="s">
        <v>482</v>
      </c>
      <c r="E18" s="10" t="s">
        <v>483</v>
      </c>
      <c r="F18" s="10" t="s">
        <v>484</v>
      </c>
      <c r="G18" s="10" t="s">
        <v>485</v>
      </c>
      <c r="H18" s="10" t="s">
        <v>486</v>
      </c>
      <c r="I18" s="10" t="s">
        <v>487</v>
      </c>
      <c r="J18" s="10" t="s">
        <v>488</v>
      </c>
    </row>
    <row r="19" spans="1:10" ht="66.650000000000006" customHeight="1" x14ac:dyDescent="0.35">
      <c r="A19" s="10" t="s">
        <v>489</v>
      </c>
      <c r="B19" s="10" t="s">
        <v>480</v>
      </c>
      <c r="C19" s="10" t="s">
        <v>490</v>
      </c>
      <c r="D19" s="10" t="s">
        <v>491</v>
      </c>
      <c r="E19" s="10" t="s">
        <v>492</v>
      </c>
      <c r="F19" s="10" t="s">
        <v>493</v>
      </c>
      <c r="G19" s="10" t="s">
        <v>494</v>
      </c>
      <c r="H19" s="10" t="s">
        <v>495</v>
      </c>
      <c r="I19" s="10" t="s">
        <v>496</v>
      </c>
      <c r="J19" s="10" t="s">
        <v>497</v>
      </c>
    </row>
    <row r="20" spans="1:10" ht="66.650000000000006" customHeight="1" x14ac:dyDescent="0.35">
      <c r="A20" s="10" t="s">
        <v>498</v>
      </c>
      <c r="B20" s="10" t="s">
        <v>480</v>
      </c>
      <c r="C20" s="10" t="s">
        <v>499</v>
      </c>
      <c r="D20" s="10" t="s">
        <v>500</v>
      </c>
      <c r="E20" s="10" t="s">
        <v>501</v>
      </c>
      <c r="F20" s="10" t="s">
        <v>502</v>
      </c>
      <c r="G20" s="10" t="s">
        <v>503</v>
      </c>
      <c r="H20" s="10" t="s">
        <v>504</v>
      </c>
      <c r="I20" s="10" t="s">
        <v>505</v>
      </c>
      <c r="J20" s="10" t="s">
        <v>506</v>
      </c>
    </row>
    <row r="21" spans="1:10" ht="66.650000000000006" customHeight="1" x14ac:dyDescent="0.35">
      <c r="A21" s="10" t="s">
        <v>507</v>
      </c>
      <c r="B21" s="10" t="s">
        <v>508</v>
      </c>
      <c r="C21" s="10" t="s">
        <v>509</v>
      </c>
      <c r="D21" s="10" t="s">
        <v>510</v>
      </c>
      <c r="E21" s="10" t="s">
        <v>511</v>
      </c>
      <c r="F21" s="10" t="s">
        <v>512</v>
      </c>
      <c r="G21" s="10" t="s">
        <v>513</v>
      </c>
      <c r="H21" s="10" t="s">
        <v>514</v>
      </c>
      <c r="I21" s="10" t="s">
        <v>515</v>
      </c>
      <c r="J21" s="10" t="s">
        <v>516</v>
      </c>
    </row>
    <row r="22" spans="1:10" ht="66.650000000000006" customHeight="1" x14ac:dyDescent="0.35">
      <c r="A22" s="10" t="s">
        <v>517</v>
      </c>
      <c r="B22" s="10" t="s">
        <v>464</v>
      </c>
      <c r="C22" s="10" t="s">
        <v>518</v>
      </c>
      <c r="D22" s="10" t="s">
        <v>519</v>
      </c>
      <c r="E22" s="10" t="s">
        <v>520</v>
      </c>
      <c r="F22" s="10" t="s">
        <v>521</v>
      </c>
      <c r="G22" s="10" t="s">
        <v>522</v>
      </c>
      <c r="H22" s="10" t="s">
        <v>523</v>
      </c>
      <c r="I22" s="10" t="s">
        <v>138</v>
      </c>
      <c r="J22" s="10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0"/>
  <sheetViews>
    <sheetView workbookViewId="0">
      <selection activeCell="D15" sqref="D15"/>
    </sheetView>
  </sheetViews>
  <sheetFormatPr defaultRowHeight="14.5" x14ac:dyDescent="0.35"/>
  <cols>
    <col min="1" max="1" width="8" customWidth="1"/>
    <col min="2" max="2" width="7" customWidth="1"/>
    <col min="3" max="3" width="22" customWidth="1"/>
    <col min="4" max="4" width="26" customWidth="1"/>
    <col min="5" max="5" width="38" customWidth="1"/>
    <col min="6" max="6" width="32" customWidth="1"/>
    <col min="7" max="8" width="24" customWidth="1"/>
    <col min="9" max="9" width="25" customWidth="1"/>
    <col min="10" max="10" width="14" customWidth="1"/>
    <col min="11" max="12" width="20" customWidth="1"/>
  </cols>
  <sheetData>
    <row r="1" spans="1:12" ht="29" x14ac:dyDescent="0.35">
      <c r="A1" s="34" t="s">
        <v>524</v>
      </c>
      <c r="B1" s="39"/>
      <c r="C1" s="39"/>
      <c r="D1" s="39"/>
      <c r="E1" s="39"/>
      <c r="F1" s="39"/>
      <c r="G1" s="39"/>
      <c r="H1" s="39"/>
      <c r="I1" s="39"/>
      <c r="J1" s="39"/>
      <c r="K1" s="49" t="s">
        <v>1</v>
      </c>
      <c r="L1" s="50" t="s">
        <v>2</v>
      </c>
    </row>
    <row r="2" spans="1:12" x14ac:dyDescent="0.35">
      <c r="A2" s="82" t="s">
        <v>525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x14ac:dyDescent="0.3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x14ac:dyDescent="0.35">
      <c r="A4" s="43" t="s">
        <v>526</v>
      </c>
      <c r="B4" s="43" t="s">
        <v>527</v>
      </c>
      <c r="C4" s="43" t="s">
        <v>528</v>
      </c>
      <c r="D4" s="43" t="s">
        <v>529</v>
      </c>
      <c r="E4" s="43" t="s">
        <v>530</v>
      </c>
      <c r="F4" s="43" t="s">
        <v>531</v>
      </c>
      <c r="G4" s="43" t="s">
        <v>532</v>
      </c>
      <c r="H4" s="35" t="s">
        <v>533</v>
      </c>
      <c r="I4" s="35" t="s">
        <v>534</v>
      </c>
      <c r="J4" s="35" t="s">
        <v>535</v>
      </c>
      <c r="K4" s="35" t="s">
        <v>536</v>
      </c>
      <c r="L4" s="35" t="s">
        <v>122</v>
      </c>
    </row>
    <row r="5" spans="1:12" ht="33.4" customHeight="1" x14ac:dyDescent="0.35">
      <c r="A5" s="8">
        <v>1</v>
      </c>
      <c r="B5" s="8">
        <v>1</v>
      </c>
      <c r="C5" s="8" t="s">
        <v>537</v>
      </c>
      <c r="D5" s="8" t="s">
        <v>538</v>
      </c>
      <c r="E5" s="8" t="s">
        <v>539</v>
      </c>
      <c r="F5" s="8" t="s">
        <v>540</v>
      </c>
      <c r="G5" s="8" t="s">
        <v>541</v>
      </c>
      <c r="H5" s="40" t="s">
        <v>542</v>
      </c>
      <c r="I5" s="40" t="s">
        <v>543</v>
      </c>
      <c r="J5" s="40" t="s">
        <v>544</v>
      </c>
      <c r="K5" s="40" t="s">
        <v>545</v>
      </c>
      <c r="L5" s="40" t="s">
        <v>138</v>
      </c>
    </row>
    <row r="6" spans="1:12" ht="33.4" customHeight="1" x14ac:dyDescent="0.35">
      <c r="A6" s="8">
        <v>2</v>
      </c>
      <c r="B6" s="8">
        <v>1</v>
      </c>
      <c r="C6" s="8" t="s">
        <v>546</v>
      </c>
      <c r="D6" s="8" t="s">
        <v>547</v>
      </c>
      <c r="E6" s="8" t="s">
        <v>548</v>
      </c>
      <c r="F6" s="8" t="s">
        <v>549</v>
      </c>
      <c r="G6" s="8" t="s">
        <v>550</v>
      </c>
      <c r="H6" s="40" t="s">
        <v>551</v>
      </c>
      <c r="I6" s="40" t="s">
        <v>552</v>
      </c>
      <c r="J6" s="40" t="s">
        <v>553</v>
      </c>
      <c r="K6" s="40" t="s">
        <v>554</v>
      </c>
      <c r="L6" s="40" t="s">
        <v>138</v>
      </c>
    </row>
    <row r="7" spans="1:12" ht="33.4" customHeight="1" x14ac:dyDescent="0.35">
      <c r="A7" s="8">
        <v>3</v>
      </c>
      <c r="B7" s="8">
        <v>1</v>
      </c>
      <c r="C7" s="8" t="s">
        <v>537</v>
      </c>
      <c r="D7" s="8" t="s">
        <v>555</v>
      </c>
      <c r="E7" s="8" t="s">
        <v>556</v>
      </c>
      <c r="F7" s="8" t="s">
        <v>557</v>
      </c>
      <c r="G7" s="8" t="s">
        <v>558</v>
      </c>
      <c r="H7" s="40" t="s">
        <v>559</v>
      </c>
      <c r="I7" s="40" t="s">
        <v>560</v>
      </c>
      <c r="J7" s="40" t="s">
        <v>544</v>
      </c>
      <c r="K7" s="40" t="s">
        <v>561</v>
      </c>
      <c r="L7" s="40" t="s">
        <v>145</v>
      </c>
    </row>
    <row r="8" spans="1:12" ht="33.4" customHeight="1" x14ac:dyDescent="0.35">
      <c r="A8" s="8">
        <v>4</v>
      </c>
      <c r="B8" s="8">
        <v>1</v>
      </c>
      <c r="C8" s="8" t="s">
        <v>562</v>
      </c>
      <c r="D8" s="8" t="s">
        <v>563</v>
      </c>
      <c r="E8" s="8" t="s">
        <v>564</v>
      </c>
      <c r="F8" s="8" t="s">
        <v>565</v>
      </c>
      <c r="G8" s="8" t="s">
        <v>566</v>
      </c>
      <c r="H8" s="40" t="s">
        <v>567</v>
      </c>
      <c r="I8" s="40" t="s">
        <v>568</v>
      </c>
      <c r="J8" s="40" t="s">
        <v>136</v>
      </c>
      <c r="K8" s="40" t="s">
        <v>569</v>
      </c>
      <c r="L8" s="40" t="s">
        <v>228</v>
      </c>
    </row>
    <row r="9" spans="1:12" ht="33.4" customHeight="1" x14ac:dyDescent="0.35">
      <c r="A9" s="8">
        <v>5</v>
      </c>
      <c r="B9" s="8">
        <v>1</v>
      </c>
      <c r="C9" s="8" t="s">
        <v>537</v>
      </c>
      <c r="D9" s="8" t="s">
        <v>570</v>
      </c>
      <c r="E9" s="8" t="s">
        <v>571</v>
      </c>
      <c r="F9" s="8" t="s">
        <v>572</v>
      </c>
      <c r="G9" s="8" t="s">
        <v>573</v>
      </c>
      <c r="H9" s="40" t="s">
        <v>574</v>
      </c>
      <c r="I9" s="40" t="s">
        <v>575</v>
      </c>
      <c r="J9" s="40" t="s">
        <v>544</v>
      </c>
      <c r="K9" s="40" t="s">
        <v>576</v>
      </c>
      <c r="L9" s="40" t="s">
        <v>138</v>
      </c>
    </row>
    <row r="10" spans="1:12" ht="33.4" customHeight="1" x14ac:dyDescent="0.35">
      <c r="A10" s="12">
        <v>6</v>
      </c>
      <c r="B10" s="12">
        <v>1</v>
      </c>
      <c r="C10" s="12" t="s">
        <v>577</v>
      </c>
      <c r="D10" s="12" t="s">
        <v>578</v>
      </c>
      <c r="E10" s="12" t="s">
        <v>579</v>
      </c>
      <c r="F10" s="12" t="s">
        <v>580</v>
      </c>
      <c r="G10" s="12" t="s">
        <v>581</v>
      </c>
      <c r="H10" s="40" t="s">
        <v>582</v>
      </c>
      <c r="I10" s="40" t="s">
        <v>583</v>
      </c>
      <c r="J10" s="40" t="s">
        <v>553</v>
      </c>
      <c r="K10" s="40" t="s">
        <v>584</v>
      </c>
      <c r="L10" s="40" t="s">
        <v>138</v>
      </c>
    </row>
    <row r="11" spans="1:12" ht="33.4" customHeight="1" x14ac:dyDescent="0.35">
      <c r="A11" s="12">
        <v>7</v>
      </c>
      <c r="B11" s="12">
        <v>1</v>
      </c>
      <c r="C11" s="12" t="s">
        <v>585</v>
      </c>
      <c r="D11" s="12" t="s">
        <v>586</v>
      </c>
      <c r="E11" s="12" t="s">
        <v>587</v>
      </c>
      <c r="F11" s="12" t="s">
        <v>588</v>
      </c>
      <c r="G11" s="12" t="s">
        <v>589</v>
      </c>
      <c r="H11" s="40" t="s">
        <v>590</v>
      </c>
      <c r="I11" s="40" t="s">
        <v>591</v>
      </c>
      <c r="J11" s="40" t="s">
        <v>135</v>
      </c>
      <c r="K11" s="40" t="s">
        <v>592</v>
      </c>
      <c r="L11" s="40" t="s">
        <v>138</v>
      </c>
    </row>
    <row r="12" spans="1:12" ht="33.4" customHeight="1" x14ac:dyDescent="0.35">
      <c r="A12" s="13">
        <v>8</v>
      </c>
      <c r="B12" s="13">
        <v>2</v>
      </c>
      <c r="C12" s="13" t="s">
        <v>593</v>
      </c>
      <c r="D12" s="13" t="s">
        <v>594</v>
      </c>
      <c r="E12" s="13" t="s">
        <v>595</v>
      </c>
      <c r="F12" s="13" t="s">
        <v>596</v>
      </c>
      <c r="G12" s="13" t="s">
        <v>597</v>
      </c>
      <c r="H12" s="40" t="s">
        <v>598</v>
      </c>
      <c r="I12" s="40" t="s">
        <v>599</v>
      </c>
      <c r="J12" s="40" t="s">
        <v>600</v>
      </c>
      <c r="K12" s="40" t="s">
        <v>601</v>
      </c>
      <c r="L12" s="40" t="s">
        <v>145</v>
      </c>
    </row>
    <row r="13" spans="1:12" ht="33.4" customHeight="1" x14ac:dyDescent="0.35">
      <c r="A13" s="8">
        <v>9</v>
      </c>
      <c r="B13" s="8">
        <v>2</v>
      </c>
      <c r="C13" s="8" t="s">
        <v>602</v>
      </c>
      <c r="D13" s="8" t="s">
        <v>603</v>
      </c>
      <c r="E13" s="8" t="s">
        <v>604</v>
      </c>
      <c r="F13" s="8" t="s">
        <v>605</v>
      </c>
      <c r="G13" s="8" t="s">
        <v>606</v>
      </c>
      <c r="H13" s="40" t="s">
        <v>607</v>
      </c>
      <c r="I13" s="40" t="s">
        <v>608</v>
      </c>
      <c r="J13" s="40" t="s">
        <v>544</v>
      </c>
      <c r="K13" s="40" t="s">
        <v>609</v>
      </c>
      <c r="L13" s="40" t="s">
        <v>138</v>
      </c>
    </row>
    <row r="14" spans="1:12" ht="33.4" customHeight="1" x14ac:dyDescent="0.35">
      <c r="A14" s="8">
        <v>10</v>
      </c>
      <c r="B14" s="8">
        <v>2</v>
      </c>
      <c r="C14" s="8" t="s">
        <v>610</v>
      </c>
      <c r="D14" s="8" t="s">
        <v>594</v>
      </c>
      <c r="E14" s="8" t="s">
        <v>611</v>
      </c>
      <c r="F14" s="8" t="s">
        <v>612</v>
      </c>
      <c r="G14" s="8" t="s">
        <v>541</v>
      </c>
      <c r="H14" s="40" t="s">
        <v>613</v>
      </c>
      <c r="I14" s="40" t="s">
        <v>614</v>
      </c>
      <c r="J14" s="40" t="s">
        <v>600</v>
      </c>
      <c r="K14" s="40" t="s">
        <v>615</v>
      </c>
      <c r="L14" s="40" t="s">
        <v>145</v>
      </c>
    </row>
    <row r="15" spans="1:12" ht="33.4" customHeight="1" x14ac:dyDescent="0.35">
      <c r="A15" s="8">
        <v>11</v>
      </c>
      <c r="B15" s="8">
        <v>2</v>
      </c>
      <c r="C15" s="8" t="s">
        <v>562</v>
      </c>
      <c r="D15" s="8" t="s">
        <v>616</v>
      </c>
      <c r="E15" s="8" t="s">
        <v>617</v>
      </c>
      <c r="F15" s="8" t="s">
        <v>618</v>
      </c>
      <c r="G15" s="8" t="s">
        <v>619</v>
      </c>
      <c r="H15" s="40" t="s">
        <v>567</v>
      </c>
      <c r="I15" s="40" t="s">
        <v>620</v>
      </c>
      <c r="J15" s="40" t="s">
        <v>136</v>
      </c>
      <c r="K15" s="40" t="s">
        <v>621</v>
      </c>
      <c r="L15" s="40" t="s">
        <v>228</v>
      </c>
    </row>
    <row r="16" spans="1:12" ht="33.4" customHeight="1" x14ac:dyDescent="0.35">
      <c r="A16" s="8">
        <v>12</v>
      </c>
      <c r="B16" s="8">
        <v>2</v>
      </c>
      <c r="C16" s="8" t="s">
        <v>622</v>
      </c>
      <c r="D16" s="8" t="s">
        <v>594</v>
      </c>
      <c r="E16" s="8" t="s">
        <v>623</v>
      </c>
      <c r="F16" s="8" t="s">
        <v>624</v>
      </c>
      <c r="G16" s="8" t="s">
        <v>625</v>
      </c>
      <c r="H16" s="40" t="s">
        <v>574</v>
      </c>
      <c r="I16" s="40" t="s">
        <v>626</v>
      </c>
      <c r="J16" s="40" t="s">
        <v>600</v>
      </c>
      <c r="K16" s="40" t="s">
        <v>627</v>
      </c>
      <c r="L16" s="40" t="s">
        <v>138</v>
      </c>
    </row>
    <row r="17" spans="1:12" ht="33.4" customHeight="1" x14ac:dyDescent="0.35">
      <c r="A17" s="12">
        <v>13</v>
      </c>
      <c r="B17" s="12">
        <v>2</v>
      </c>
      <c r="C17" s="12" t="s">
        <v>628</v>
      </c>
      <c r="D17" s="12" t="s">
        <v>578</v>
      </c>
      <c r="E17" s="12" t="s">
        <v>629</v>
      </c>
      <c r="F17" s="12" t="s">
        <v>580</v>
      </c>
      <c r="G17" s="12" t="s">
        <v>630</v>
      </c>
      <c r="H17" s="40" t="s">
        <v>582</v>
      </c>
      <c r="I17" s="40" t="s">
        <v>631</v>
      </c>
      <c r="J17" s="40" t="s">
        <v>544</v>
      </c>
      <c r="K17" s="40" t="s">
        <v>632</v>
      </c>
      <c r="L17" s="40" t="s">
        <v>138</v>
      </c>
    </row>
    <row r="18" spans="1:12" ht="33.4" customHeight="1" x14ac:dyDescent="0.35">
      <c r="A18" s="12">
        <v>14</v>
      </c>
      <c r="B18" s="12">
        <v>2</v>
      </c>
      <c r="C18" s="12" t="s">
        <v>633</v>
      </c>
      <c r="D18" s="12" t="s">
        <v>634</v>
      </c>
      <c r="E18" s="12" t="s">
        <v>635</v>
      </c>
      <c r="F18" s="12" t="s">
        <v>636</v>
      </c>
      <c r="G18" s="12" t="s">
        <v>589</v>
      </c>
      <c r="H18" s="40" t="s">
        <v>637</v>
      </c>
      <c r="I18" s="40" t="s">
        <v>638</v>
      </c>
      <c r="J18" s="40" t="s">
        <v>135</v>
      </c>
      <c r="K18" s="40" t="s">
        <v>639</v>
      </c>
      <c r="L18" s="40" t="s">
        <v>138</v>
      </c>
    </row>
    <row r="19" spans="1:12" ht="33.4" customHeight="1" x14ac:dyDescent="0.35">
      <c r="A19" s="8">
        <v>15</v>
      </c>
      <c r="B19" s="8">
        <v>3</v>
      </c>
      <c r="C19" s="8" t="s">
        <v>640</v>
      </c>
      <c r="D19" s="8" t="s">
        <v>594</v>
      </c>
      <c r="E19" s="8" t="s">
        <v>641</v>
      </c>
      <c r="F19" s="8" t="s">
        <v>642</v>
      </c>
      <c r="G19" s="8" t="s">
        <v>643</v>
      </c>
      <c r="H19" s="40" t="s">
        <v>644</v>
      </c>
      <c r="I19" s="40" t="s">
        <v>645</v>
      </c>
      <c r="J19" s="40" t="s">
        <v>646</v>
      </c>
      <c r="K19" s="40" t="s">
        <v>647</v>
      </c>
      <c r="L19" s="40" t="s">
        <v>138</v>
      </c>
    </row>
    <row r="20" spans="1:12" ht="33.4" customHeight="1" x14ac:dyDescent="0.35">
      <c r="A20" s="8">
        <v>16</v>
      </c>
      <c r="B20" s="8">
        <v>3</v>
      </c>
      <c r="C20" s="8" t="s">
        <v>279</v>
      </c>
      <c r="D20" s="8" t="s">
        <v>594</v>
      </c>
      <c r="E20" s="8" t="s">
        <v>648</v>
      </c>
      <c r="F20" s="8" t="s">
        <v>649</v>
      </c>
      <c r="G20" s="8" t="s">
        <v>643</v>
      </c>
      <c r="H20" s="40" t="s">
        <v>644</v>
      </c>
      <c r="I20" s="40" t="s">
        <v>645</v>
      </c>
      <c r="J20" s="40" t="s">
        <v>544</v>
      </c>
      <c r="K20" s="40" t="s">
        <v>647</v>
      </c>
      <c r="L20" s="40" t="s">
        <v>138</v>
      </c>
    </row>
    <row r="21" spans="1:12" ht="33.4" customHeight="1" x14ac:dyDescent="0.35">
      <c r="A21" s="8">
        <v>17</v>
      </c>
      <c r="B21" s="8">
        <v>3</v>
      </c>
      <c r="C21" s="8" t="s">
        <v>650</v>
      </c>
      <c r="D21" s="8" t="s">
        <v>594</v>
      </c>
      <c r="E21" s="8" t="s">
        <v>641</v>
      </c>
      <c r="F21" s="8" t="s">
        <v>642</v>
      </c>
      <c r="G21" s="8" t="s">
        <v>643</v>
      </c>
      <c r="H21" s="40" t="s">
        <v>644</v>
      </c>
      <c r="I21" s="40" t="s">
        <v>645</v>
      </c>
      <c r="J21" s="40" t="s">
        <v>646</v>
      </c>
      <c r="K21" s="40" t="s">
        <v>647</v>
      </c>
      <c r="L21" s="40" t="s">
        <v>138</v>
      </c>
    </row>
    <row r="22" spans="1:12" ht="33.4" customHeight="1" x14ac:dyDescent="0.35">
      <c r="A22" s="8">
        <v>18</v>
      </c>
      <c r="B22" s="8">
        <v>3</v>
      </c>
      <c r="C22" s="8" t="s">
        <v>651</v>
      </c>
      <c r="D22" s="8" t="s">
        <v>594</v>
      </c>
      <c r="E22" s="8" t="s">
        <v>652</v>
      </c>
      <c r="F22" s="8" t="s">
        <v>653</v>
      </c>
      <c r="G22" s="8" t="s">
        <v>643</v>
      </c>
      <c r="H22" s="40" t="s">
        <v>644</v>
      </c>
      <c r="I22" s="40" t="s">
        <v>645</v>
      </c>
      <c r="J22" s="40" t="s">
        <v>136</v>
      </c>
      <c r="K22" s="40" t="s">
        <v>647</v>
      </c>
      <c r="L22" s="40" t="s">
        <v>138</v>
      </c>
    </row>
    <row r="23" spans="1:12" ht="33.4" customHeight="1" x14ac:dyDescent="0.35">
      <c r="A23" s="13">
        <v>19</v>
      </c>
      <c r="B23" s="13">
        <v>3</v>
      </c>
      <c r="C23" s="13" t="s">
        <v>654</v>
      </c>
      <c r="D23" s="13" t="s">
        <v>594</v>
      </c>
      <c r="E23" s="13" t="s">
        <v>641</v>
      </c>
      <c r="F23" s="13" t="s">
        <v>642</v>
      </c>
      <c r="G23" s="13" t="s">
        <v>643</v>
      </c>
      <c r="H23" s="40" t="s">
        <v>644</v>
      </c>
      <c r="I23" s="40" t="s">
        <v>645</v>
      </c>
      <c r="J23" s="40" t="s">
        <v>646</v>
      </c>
      <c r="K23" s="40" t="s">
        <v>647</v>
      </c>
      <c r="L23" s="40" t="s">
        <v>138</v>
      </c>
    </row>
    <row r="24" spans="1:12" ht="33.4" customHeight="1" x14ac:dyDescent="0.35">
      <c r="A24" s="12">
        <v>20</v>
      </c>
      <c r="B24" s="12">
        <v>3</v>
      </c>
      <c r="C24" s="12" t="s">
        <v>628</v>
      </c>
      <c r="D24" s="12" t="s">
        <v>594</v>
      </c>
      <c r="E24" s="12" t="s">
        <v>655</v>
      </c>
      <c r="F24" s="12" t="s">
        <v>656</v>
      </c>
      <c r="G24" s="12" t="s">
        <v>643</v>
      </c>
      <c r="H24" s="40" t="s">
        <v>644</v>
      </c>
      <c r="I24" s="40" t="s">
        <v>645</v>
      </c>
      <c r="J24" s="40" t="s">
        <v>135</v>
      </c>
      <c r="K24" s="40" t="s">
        <v>647</v>
      </c>
      <c r="L24" s="40" t="s">
        <v>138</v>
      </c>
    </row>
    <row r="25" spans="1:12" ht="33.4" customHeight="1" x14ac:dyDescent="0.35">
      <c r="A25" s="12">
        <v>21</v>
      </c>
      <c r="B25" s="12">
        <v>3</v>
      </c>
      <c r="C25" s="12" t="s">
        <v>657</v>
      </c>
      <c r="D25" s="12" t="s">
        <v>594</v>
      </c>
      <c r="E25" s="12" t="s">
        <v>655</v>
      </c>
      <c r="F25" s="12" t="s">
        <v>656</v>
      </c>
      <c r="G25" s="12" t="s">
        <v>643</v>
      </c>
      <c r="H25" s="40" t="s">
        <v>644</v>
      </c>
      <c r="I25" s="40" t="s">
        <v>645</v>
      </c>
      <c r="J25" s="40" t="s">
        <v>135</v>
      </c>
      <c r="K25" s="40" t="s">
        <v>647</v>
      </c>
      <c r="L25" s="40" t="s">
        <v>138</v>
      </c>
    </row>
    <row r="26" spans="1:12" ht="33.4" customHeight="1" x14ac:dyDescent="0.35">
      <c r="A26" s="8">
        <v>22</v>
      </c>
      <c r="B26" s="8">
        <v>4</v>
      </c>
      <c r="C26" s="8" t="s">
        <v>640</v>
      </c>
      <c r="D26" s="8" t="s">
        <v>594</v>
      </c>
      <c r="E26" s="8" t="s">
        <v>641</v>
      </c>
      <c r="F26" s="8" t="s">
        <v>642</v>
      </c>
      <c r="G26" s="8" t="s">
        <v>643</v>
      </c>
      <c r="H26" s="40" t="s">
        <v>644</v>
      </c>
      <c r="I26" s="40" t="s">
        <v>645</v>
      </c>
      <c r="J26" s="40" t="s">
        <v>646</v>
      </c>
      <c r="K26" s="40" t="s">
        <v>647</v>
      </c>
      <c r="L26" s="40" t="s">
        <v>138</v>
      </c>
    </row>
    <row r="27" spans="1:12" ht="33.4" customHeight="1" x14ac:dyDescent="0.35">
      <c r="A27" s="8">
        <v>23</v>
      </c>
      <c r="B27" s="8">
        <v>4</v>
      </c>
      <c r="C27" s="8" t="s">
        <v>279</v>
      </c>
      <c r="D27" s="8" t="s">
        <v>594</v>
      </c>
      <c r="E27" s="8" t="s">
        <v>648</v>
      </c>
      <c r="F27" s="8" t="s">
        <v>649</v>
      </c>
      <c r="G27" s="8" t="s">
        <v>643</v>
      </c>
      <c r="H27" s="40" t="s">
        <v>644</v>
      </c>
      <c r="I27" s="40" t="s">
        <v>645</v>
      </c>
      <c r="J27" s="40" t="s">
        <v>544</v>
      </c>
      <c r="K27" s="40" t="s">
        <v>647</v>
      </c>
      <c r="L27" s="40" t="s">
        <v>138</v>
      </c>
    </row>
    <row r="28" spans="1:12" ht="33.4" customHeight="1" x14ac:dyDescent="0.35">
      <c r="A28" s="8">
        <v>24</v>
      </c>
      <c r="B28" s="8">
        <v>4</v>
      </c>
      <c r="C28" s="8" t="s">
        <v>650</v>
      </c>
      <c r="D28" s="8" t="s">
        <v>594</v>
      </c>
      <c r="E28" s="8" t="s">
        <v>641</v>
      </c>
      <c r="F28" s="8" t="s">
        <v>642</v>
      </c>
      <c r="G28" s="8" t="s">
        <v>643</v>
      </c>
      <c r="H28" s="40" t="s">
        <v>644</v>
      </c>
      <c r="I28" s="40" t="s">
        <v>645</v>
      </c>
      <c r="J28" s="40" t="s">
        <v>646</v>
      </c>
      <c r="K28" s="40" t="s">
        <v>647</v>
      </c>
      <c r="L28" s="40" t="s">
        <v>138</v>
      </c>
    </row>
    <row r="29" spans="1:12" ht="33.4" customHeight="1" x14ac:dyDescent="0.35">
      <c r="A29" s="8">
        <v>25</v>
      </c>
      <c r="B29" s="8">
        <v>4</v>
      </c>
      <c r="C29" s="8" t="s">
        <v>651</v>
      </c>
      <c r="D29" s="8" t="s">
        <v>594</v>
      </c>
      <c r="E29" s="8" t="s">
        <v>652</v>
      </c>
      <c r="F29" s="8" t="s">
        <v>653</v>
      </c>
      <c r="G29" s="8" t="s">
        <v>643</v>
      </c>
      <c r="H29" s="40" t="s">
        <v>644</v>
      </c>
      <c r="I29" s="40" t="s">
        <v>645</v>
      </c>
      <c r="J29" s="40" t="s">
        <v>136</v>
      </c>
      <c r="K29" s="40" t="s">
        <v>647</v>
      </c>
      <c r="L29" s="40" t="s">
        <v>138</v>
      </c>
    </row>
    <row r="30" spans="1:12" ht="33.4" customHeight="1" x14ac:dyDescent="0.35">
      <c r="A30" s="8">
        <v>26</v>
      </c>
      <c r="B30" s="8">
        <v>4</v>
      </c>
      <c r="C30" s="8" t="s">
        <v>654</v>
      </c>
      <c r="D30" s="8" t="s">
        <v>594</v>
      </c>
      <c r="E30" s="8" t="s">
        <v>641</v>
      </c>
      <c r="F30" s="8" t="s">
        <v>642</v>
      </c>
      <c r="G30" s="8" t="s">
        <v>643</v>
      </c>
      <c r="H30" s="40" t="s">
        <v>644</v>
      </c>
      <c r="I30" s="40" t="s">
        <v>645</v>
      </c>
      <c r="J30" s="40" t="s">
        <v>646</v>
      </c>
      <c r="K30" s="40" t="s">
        <v>647</v>
      </c>
      <c r="L30" s="40" t="s">
        <v>138</v>
      </c>
    </row>
    <row r="31" spans="1:12" ht="33.4" customHeight="1" x14ac:dyDescent="0.35">
      <c r="A31" s="12">
        <v>27</v>
      </c>
      <c r="B31" s="12">
        <v>4</v>
      </c>
      <c r="C31" s="12" t="s">
        <v>628</v>
      </c>
      <c r="D31" s="12" t="s">
        <v>594</v>
      </c>
      <c r="E31" s="12" t="s">
        <v>655</v>
      </c>
      <c r="F31" s="12" t="s">
        <v>656</v>
      </c>
      <c r="G31" s="12" t="s">
        <v>643</v>
      </c>
      <c r="H31" s="40" t="s">
        <v>644</v>
      </c>
      <c r="I31" s="40" t="s">
        <v>645</v>
      </c>
      <c r="J31" s="40" t="s">
        <v>135</v>
      </c>
      <c r="K31" s="40" t="s">
        <v>647</v>
      </c>
      <c r="L31" s="40" t="s">
        <v>138</v>
      </c>
    </row>
    <row r="32" spans="1:12" ht="33.4" customHeight="1" x14ac:dyDescent="0.35">
      <c r="A32" s="12">
        <v>28</v>
      </c>
      <c r="B32" s="12">
        <v>4</v>
      </c>
      <c r="C32" s="12" t="s">
        <v>657</v>
      </c>
      <c r="D32" s="12" t="s">
        <v>594</v>
      </c>
      <c r="E32" s="12" t="s">
        <v>655</v>
      </c>
      <c r="F32" s="12" t="s">
        <v>656</v>
      </c>
      <c r="G32" s="12" t="s">
        <v>643</v>
      </c>
      <c r="H32" s="40" t="s">
        <v>644</v>
      </c>
      <c r="I32" s="40" t="s">
        <v>645</v>
      </c>
      <c r="J32" s="40" t="s">
        <v>135</v>
      </c>
      <c r="K32" s="40" t="s">
        <v>647</v>
      </c>
      <c r="L32" s="40" t="s">
        <v>138</v>
      </c>
    </row>
    <row r="33" spans="1:12" ht="33.4" customHeight="1" x14ac:dyDescent="0.35">
      <c r="A33" s="13">
        <v>29</v>
      </c>
      <c r="B33" s="13">
        <v>4</v>
      </c>
      <c r="C33" s="13" t="s">
        <v>640</v>
      </c>
      <c r="D33" s="13" t="s">
        <v>594</v>
      </c>
      <c r="E33" s="13" t="s">
        <v>641</v>
      </c>
      <c r="F33" s="13" t="s">
        <v>642</v>
      </c>
      <c r="G33" s="13" t="s">
        <v>643</v>
      </c>
      <c r="H33" s="40" t="s">
        <v>644</v>
      </c>
      <c r="I33" s="40" t="s">
        <v>645</v>
      </c>
      <c r="J33" s="40" t="s">
        <v>646</v>
      </c>
      <c r="K33" s="40" t="s">
        <v>647</v>
      </c>
      <c r="L33" s="40" t="s">
        <v>138</v>
      </c>
    </row>
    <row r="34" spans="1:12" ht="33.4" customHeight="1" x14ac:dyDescent="0.35">
      <c r="A34" s="8">
        <v>30</v>
      </c>
      <c r="B34" s="8">
        <v>4</v>
      </c>
      <c r="C34" s="8" t="s">
        <v>279</v>
      </c>
      <c r="D34" s="8" t="s">
        <v>594</v>
      </c>
      <c r="E34" s="8" t="s">
        <v>648</v>
      </c>
      <c r="F34" s="8" t="s">
        <v>649</v>
      </c>
      <c r="G34" s="8" t="s">
        <v>643</v>
      </c>
      <c r="H34" s="40" t="s">
        <v>644</v>
      </c>
      <c r="I34" s="40" t="s">
        <v>645</v>
      </c>
      <c r="J34" s="40" t="s">
        <v>544</v>
      </c>
      <c r="K34" s="40" t="s">
        <v>647</v>
      </c>
      <c r="L34" s="40" t="s">
        <v>138</v>
      </c>
    </row>
    <row r="35" spans="1:12" x14ac:dyDescent="0.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spans="1:12" x14ac:dyDescent="0.3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1:12" x14ac:dyDescent="0.3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1:12" x14ac:dyDescent="0.3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spans="1:12" x14ac:dyDescent="0.3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spans="1:12" x14ac:dyDescent="0.3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1:12" x14ac:dyDescent="0.3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spans="1:12" x14ac:dyDescent="0.3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spans="1:12" x14ac:dyDescent="0.3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x14ac:dyDescent="0.3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spans="1:12" x14ac:dyDescent="0.3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1:12" x14ac:dyDescent="0.3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2" x14ac:dyDescent="0.3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spans="1:12" x14ac:dyDescent="0.3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spans="1:12" x14ac:dyDescent="0.3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spans="1:12" x14ac:dyDescent="0.3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spans="1:12" x14ac:dyDescent="0.3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spans="1:12" x14ac:dyDescent="0.3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spans="1:12" x14ac:dyDescent="0.3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spans="1:12" x14ac:dyDescent="0.3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2" x14ac:dyDescent="0.3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2" x14ac:dyDescent="0.3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spans="1:12" x14ac:dyDescent="0.3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2" x14ac:dyDescent="0.3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2" x14ac:dyDescent="0.3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spans="1:12" x14ac:dyDescent="0.3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2" x14ac:dyDescent="0.3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2" x14ac:dyDescent="0.3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2" x14ac:dyDescent="0.3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2" x14ac:dyDescent="0.3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2" x14ac:dyDescent="0.3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2" x14ac:dyDescent="0.3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2" x14ac:dyDescent="0.3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2" x14ac:dyDescent="0.3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2" x14ac:dyDescent="0.3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2" x14ac:dyDescent="0.3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0"/>
  <sheetViews>
    <sheetView topLeftCell="A2" workbookViewId="0">
      <selection activeCell="A15" sqref="A15"/>
    </sheetView>
  </sheetViews>
  <sheetFormatPr defaultRowHeight="14.5" x14ac:dyDescent="0.35"/>
  <cols>
    <col min="1" max="1" width="14.6328125" customWidth="1"/>
    <col min="2" max="2" width="24" customWidth="1"/>
    <col min="3" max="3" width="28" customWidth="1"/>
    <col min="4" max="4" width="38" customWidth="1"/>
    <col min="5" max="5" width="34" customWidth="1"/>
    <col min="6" max="6" width="28" customWidth="1"/>
    <col min="7" max="7" width="22" customWidth="1"/>
    <col min="8" max="8" width="24" customWidth="1"/>
    <col min="9" max="9" width="22" customWidth="1"/>
    <col min="10" max="10" width="15" customWidth="1"/>
    <col min="11" max="12" width="20" customWidth="1"/>
  </cols>
  <sheetData>
    <row r="1" spans="1:12" ht="29" x14ac:dyDescent="0.35">
      <c r="A1" s="34" t="s">
        <v>658</v>
      </c>
      <c r="B1" s="39"/>
      <c r="C1" s="39"/>
      <c r="D1" s="39"/>
      <c r="E1" s="39"/>
      <c r="F1" s="39"/>
      <c r="G1" s="39"/>
      <c r="H1" s="39"/>
      <c r="I1" s="39"/>
      <c r="J1" s="39"/>
      <c r="K1" s="49" t="s">
        <v>1</v>
      </c>
      <c r="L1" s="50" t="s">
        <v>2</v>
      </c>
    </row>
    <row r="2" spans="1:12" x14ac:dyDescent="0.35">
      <c r="A2" s="82" t="s">
        <v>659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x14ac:dyDescent="0.3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x14ac:dyDescent="0.35">
      <c r="A4" s="43" t="s">
        <v>526</v>
      </c>
      <c r="B4" s="43" t="s">
        <v>660</v>
      </c>
      <c r="C4" s="43" t="s">
        <v>529</v>
      </c>
      <c r="D4" s="43" t="s">
        <v>661</v>
      </c>
      <c r="E4" s="43" t="s">
        <v>662</v>
      </c>
      <c r="F4" s="43" t="s">
        <v>533</v>
      </c>
      <c r="G4" s="35" t="s">
        <v>663</v>
      </c>
      <c r="H4" s="35" t="s">
        <v>118</v>
      </c>
      <c r="I4" s="35" t="s">
        <v>664</v>
      </c>
      <c r="J4" s="35" t="s">
        <v>665</v>
      </c>
      <c r="K4" s="35" t="s">
        <v>122</v>
      </c>
      <c r="L4" s="35" t="s">
        <v>121</v>
      </c>
    </row>
    <row r="5" spans="1:12" ht="29" x14ac:dyDescent="0.35">
      <c r="A5" s="8" t="s">
        <v>666</v>
      </c>
      <c r="B5" s="8" t="s">
        <v>667</v>
      </c>
      <c r="C5" s="8" t="s">
        <v>668</v>
      </c>
      <c r="D5" s="8" t="s">
        <v>669</v>
      </c>
      <c r="E5" s="8" t="s">
        <v>670</v>
      </c>
      <c r="F5" s="8" t="s">
        <v>671</v>
      </c>
      <c r="G5" s="40" t="s">
        <v>672</v>
      </c>
      <c r="H5" s="40" t="s">
        <v>673</v>
      </c>
      <c r="I5" s="40" t="s">
        <v>674</v>
      </c>
      <c r="J5" s="40" t="s">
        <v>675</v>
      </c>
      <c r="K5" s="40" t="s">
        <v>138</v>
      </c>
      <c r="L5" s="40" t="s">
        <v>676</v>
      </c>
    </row>
    <row r="6" spans="1:12" ht="29" x14ac:dyDescent="0.35">
      <c r="A6" s="8" t="s">
        <v>677</v>
      </c>
      <c r="B6" s="8" t="s">
        <v>546</v>
      </c>
      <c r="C6" s="8" t="s">
        <v>678</v>
      </c>
      <c r="D6" s="8" t="s">
        <v>679</v>
      </c>
      <c r="E6" s="8" t="s">
        <v>680</v>
      </c>
      <c r="F6" s="8" t="s">
        <v>681</v>
      </c>
      <c r="G6" s="40" t="s">
        <v>682</v>
      </c>
      <c r="H6" s="40" t="s">
        <v>683</v>
      </c>
      <c r="I6" s="40" t="s">
        <v>684</v>
      </c>
      <c r="J6" s="40" t="s">
        <v>685</v>
      </c>
      <c r="K6" s="40" t="s">
        <v>138</v>
      </c>
      <c r="L6" s="40" t="s">
        <v>686</v>
      </c>
    </row>
    <row r="7" spans="1:12" ht="43.5" x14ac:dyDescent="0.35">
      <c r="A7" s="8" t="s">
        <v>687</v>
      </c>
      <c r="B7" s="8" t="s">
        <v>688</v>
      </c>
      <c r="C7" s="8" t="s">
        <v>689</v>
      </c>
      <c r="D7" s="8" t="s">
        <v>690</v>
      </c>
      <c r="E7" s="8" t="s">
        <v>691</v>
      </c>
      <c r="F7" s="8" t="s">
        <v>613</v>
      </c>
      <c r="G7" s="40" t="s">
        <v>672</v>
      </c>
      <c r="H7" s="40" t="s">
        <v>692</v>
      </c>
      <c r="I7" s="40" t="s">
        <v>693</v>
      </c>
      <c r="J7" s="40" t="s">
        <v>675</v>
      </c>
      <c r="K7" s="40" t="s">
        <v>145</v>
      </c>
      <c r="L7" s="40" t="s">
        <v>694</v>
      </c>
    </row>
    <row r="8" spans="1:12" ht="29" x14ac:dyDescent="0.35">
      <c r="A8" s="8" t="s">
        <v>695</v>
      </c>
      <c r="B8" s="8" t="s">
        <v>696</v>
      </c>
      <c r="C8" s="8" t="s">
        <v>697</v>
      </c>
      <c r="D8" s="8" t="s">
        <v>698</v>
      </c>
      <c r="E8" s="8" t="s">
        <v>699</v>
      </c>
      <c r="F8" s="8" t="s">
        <v>567</v>
      </c>
      <c r="G8" s="40" t="s">
        <v>700</v>
      </c>
      <c r="H8" s="40" t="s">
        <v>701</v>
      </c>
      <c r="I8" s="40" t="s">
        <v>702</v>
      </c>
      <c r="J8" s="40" t="s">
        <v>703</v>
      </c>
      <c r="K8" s="40" t="s">
        <v>228</v>
      </c>
      <c r="L8" s="40" t="s">
        <v>704</v>
      </c>
    </row>
    <row r="9" spans="1:12" ht="29" x14ac:dyDescent="0.35">
      <c r="A9" s="8" t="s">
        <v>705</v>
      </c>
      <c r="B9" s="8" t="s">
        <v>706</v>
      </c>
      <c r="C9" s="8" t="s">
        <v>707</v>
      </c>
      <c r="D9" s="8" t="s">
        <v>708</v>
      </c>
      <c r="E9" s="8" t="s">
        <v>709</v>
      </c>
      <c r="F9" s="8" t="s">
        <v>710</v>
      </c>
      <c r="G9" s="40" t="s">
        <v>672</v>
      </c>
      <c r="H9" s="40" t="s">
        <v>711</v>
      </c>
      <c r="I9" s="40" t="s">
        <v>712</v>
      </c>
      <c r="J9" s="40" t="s">
        <v>713</v>
      </c>
      <c r="K9" s="40" t="s">
        <v>138</v>
      </c>
      <c r="L9" s="40" t="s">
        <v>714</v>
      </c>
    </row>
    <row r="10" spans="1:12" ht="29" x14ac:dyDescent="0.35">
      <c r="A10" s="8" t="s">
        <v>715</v>
      </c>
      <c r="B10" s="8" t="s">
        <v>716</v>
      </c>
      <c r="C10" s="8" t="s">
        <v>717</v>
      </c>
      <c r="D10" s="8" t="s">
        <v>718</v>
      </c>
      <c r="E10" s="8" t="s">
        <v>719</v>
      </c>
      <c r="F10" s="8" t="s">
        <v>649</v>
      </c>
      <c r="G10" s="40" t="s">
        <v>720</v>
      </c>
      <c r="H10" s="40" t="s">
        <v>721</v>
      </c>
      <c r="I10" s="40" t="s">
        <v>722</v>
      </c>
      <c r="J10" s="40" t="s">
        <v>723</v>
      </c>
      <c r="K10" s="40" t="s">
        <v>138</v>
      </c>
      <c r="L10" s="40" t="s">
        <v>724</v>
      </c>
    </row>
    <row r="11" spans="1:12" x14ac:dyDescent="0.35">
      <c r="A11" s="8" t="s">
        <v>361</v>
      </c>
      <c r="B11" s="8" t="s">
        <v>657</v>
      </c>
      <c r="C11" s="8" t="s">
        <v>586</v>
      </c>
      <c r="D11" s="8" t="s">
        <v>655</v>
      </c>
      <c r="E11" s="8" t="s">
        <v>725</v>
      </c>
      <c r="F11" s="8" t="s">
        <v>726</v>
      </c>
      <c r="G11" s="40" t="s">
        <v>336</v>
      </c>
      <c r="H11" s="40" t="s">
        <v>727</v>
      </c>
      <c r="I11" s="40" t="s">
        <v>728</v>
      </c>
      <c r="J11" s="40" t="s">
        <v>703</v>
      </c>
      <c r="K11" s="40" t="s">
        <v>138</v>
      </c>
      <c r="L11" s="40" t="s">
        <v>729</v>
      </c>
    </row>
    <row r="12" spans="1:12" x14ac:dyDescent="0.3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</row>
    <row r="13" spans="1:12" x14ac:dyDescent="0.35">
      <c r="A13" s="102" t="s">
        <v>730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</row>
    <row r="14" spans="1:12" ht="15.5" x14ac:dyDescent="0.35">
      <c r="A14" s="103" t="s">
        <v>731</v>
      </c>
      <c r="B14" s="104" t="s">
        <v>665</v>
      </c>
      <c r="C14" s="104" t="s">
        <v>732</v>
      </c>
      <c r="D14" s="104" t="s">
        <v>733</v>
      </c>
      <c r="E14" s="104" t="s">
        <v>734</v>
      </c>
      <c r="F14" s="104" t="s">
        <v>735</v>
      </c>
      <c r="G14" s="40"/>
      <c r="H14" s="40"/>
      <c r="I14" s="40"/>
      <c r="J14" s="40"/>
      <c r="K14" s="40"/>
      <c r="L14" s="40"/>
    </row>
    <row r="15" spans="1:12" ht="43.5" x14ac:dyDescent="0.35">
      <c r="A15" s="36" t="s">
        <v>736</v>
      </c>
      <c r="B15" s="37">
        <v>3</v>
      </c>
      <c r="C15" s="37">
        <v>0</v>
      </c>
      <c r="D15" s="51">
        <f t="shared" ref="D15:D20" si="0">IFERROR(C15/B15,0)</f>
        <v>0</v>
      </c>
      <c r="E15" s="37" t="str">
        <f t="shared" ref="E15:E20" si="1">IF(D15&gt;=1,"Complete",IF(D15&gt;=0.7,"On track","Needs attention"))</f>
        <v>Needs attention</v>
      </c>
      <c r="F15" s="37" t="s">
        <v>737</v>
      </c>
      <c r="G15" s="40"/>
      <c r="H15" s="40"/>
      <c r="I15" s="40"/>
      <c r="J15" s="40"/>
      <c r="K15" s="40"/>
      <c r="L15" s="40"/>
    </row>
    <row r="16" spans="1:12" ht="26.5" x14ac:dyDescent="0.35">
      <c r="A16" s="41" t="s">
        <v>738</v>
      </c>
      <c r="B16" s="42">
        <v>3</v>
      </c>
      <c r="C16" s="44">
        <v>0</v>
      </c>
      <c r="D16" s="45">
        <f t="shared" si="0"/>
        <v>0</v>
      </c>
      <c r="E16" s="42" t="str">
        <f t="shared" si="1"/>
        <v>Needs attention</v>
      </c>
      <c r="F16" s="46" t="s">
        <v>739</v>
      </c>
      <c r="G16" s="40"/>
      <c r="H16" s="40"/>
      <c r="I16" s="40"/>
      <c r="J16" s="40"/>
      <c r="K16" s="40"/>
      <c r="L16" s="40"/>
    </row>
    <row r="17" spans="1:12" ht="26.5" x14ac:dyDescent="0.35">
      <c r="A17" s="41" t="s">
        <v>740</v>
      </c>
      <c r="B17" s="42">
        <v>3</v>
      </c>
      <c r="C17" s="44">
        <v>0</v>
      </c>
      <c r="D17" s="45">
        <f t="shared" si="0"/>
        <v>0</v>
      </c>
      <c r="E17" s="42" t="str">
        <f t="shared" si="1"/>
        <v>Needs attention</v>
      </c>
      <c r="F17" s="46" t="s">
        <v>741</v>
      </c>
      <c r="G17" s="40"/>
      <c r="H17" s="40"/>
      <c r="I17" s="40"/>
      <c r="J17" s="40"/>
      <c r="K17" s="40"/>
      <c r="L17" s="40"/>
    </row>
    <row r="18" spans="1:12" ht="26.5" x14ac:dyDescent="0.35">
      <c r="A18" s="41" t="s">
        <v>742</v>
      </c>
      <c r="B18" s="42">
        <v>150</v>
      </c>
      <c r="C18" s="44">
        <v>0</v>
      </c>
      <c r="D18" s="45">
        <f t="shared" si="0"/>
        <v>0</v>
      </c>
      <c r="E18" s="42" t="str">
        <f t="shared" si="1"/>
        <v>Needs attention</v>
      </c>
      <c r="F18" s="46" t="s">
        <v>743</v>
      </c>
      <c r="G18" s="40"/>
      <c r="H18" s="40"/>
      <c r="I18" s="40"/>
      <c r="J18" s="40"/>
      <c r="K18" s="40"/>
      <c r="L18" s="40"/>
    </row>
    <row r="19" spans="1:12" ht="26.5" x14ac:dyDescent="0.35">
      <c r="A19" s="41" t="s">
        <v>744</v>
      </c>
      <c r="B19" s="42">
        <v>5</v>
      </c>
      <c r="C19" s="44">
        <v>0</v>
      </c>
      <c r="D19" s="45">
        <f t="shared" si="0"/>
        <v>0</v>
      </c>
      <c r="E19" s="42" t="str">
        <f t="shared" si="1"/>
        <v>Needs attention</v>
      </c>
      <c r="F19" s="46" t="s">
        <v>745</v>
      </c>
      <c r="G19" s="40"/>
      <c r="H19" s="40"/>
      <c r="I19" s="40"/>
      <c r="J19" s="40"/>
      <c r="K19" s="40"/>
      <c r="L19" s="40"/>
    </row>
    <row r="20" spans="1:12" ht="52.5" x14ac:dyDescent="0.35">
      <c r="A20" s="41" t="s">
        <v>746</v>
      </c>
      <c r="B20" s="42">
        <v>6</v>
      </c>
      <c r="C20" s="44">
        <v>0</v>
      </c>
      <c r="D20" s="45">
        <f t="shared" si="0"/>
        <v>0</v>
      </c>
      <c r="E20" s="42" t="str">
        <f t="shared" si="1"/>
        <v>Needs attention</v>
      </c>
      <c r="F20" s="46" t="s">
        <v>747</v>
      </c>
      <c r="G20" s="40"/>
      <c r="H20" s="40"/>
      <c r="I20" s="40"/>
      <c r="J20" s="40"/>
      <c r="K20" s="40"/>
      <c r="L20" s="40"/>
    </row>
    <row r="21" spans="1:12" x14ac:dyDescent="0.35">
      <c r="A21" s="41"/>
      <c r="B21" s="42"/>
      <c r="C21" s="44"/>
      <c r="D21" s="45"/>
      <c r="E21" s="42"/>
      <c r="F21" s="46"/>
      <c r="G21" s="40"/>
      <c r="H21" s="40"/>
      <c r="I21" s="40"/>
      <c r="J21" s="40"/>
      <c r="K21" s="40"/>
      <c r="L21" s="40"/>
    </row>
    <row r="22" spans="1:12" x14ac:dyDescent="0.3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spans="1:12" x14ac:dyDescent="0.3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2" x14ac:dyDescent="0.3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spans="1:12" x14ac:dyDescent="0.3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spans="1:12" x14ac:dyDescent="0.3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spans="1:12" x14ac:dyDescent="0.3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spans="1:12" x14ac:dyDescent="0.3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spans="1:12" x14ac:dyDescent="0.3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spans="1:12" x14ac:dyDescent="0.3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spans="1:12" x14ac:dyDescent="0.3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spans="1:12" x14ac:dyDescent="0.3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spans="1:12" x14ac:dyDescent="0.3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spans="1:12" x14ac:dyDescent="0.3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spans="1:12" x14ac:dyDescent="0.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spans="1:12" x14ac:dyDescent="0.3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1:12" x14ac:dyDescent="0.3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1:12" x14ac:dyDescent="0.3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spans="1:12" x14ac:dyDescent="0.3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spans="1:12" x14ac:dyDescent="0.3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1:12" x14ac:dyDescent="0.3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spans="1:12" x14ac:dyDescent="0.3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spans="1:12" x14ac:dyDescent="0.3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x14ac:dyDescent="0.3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spans="1:12" x14ac:dyDescent="0.3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1:12" x14ac:dyDescent="0.3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2" x14ac:dyDescent="0.3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spans="1:12" x14ac:dyDescent="0.3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spans="1:12" x14ac:dyDescent="0.3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spans="1:12" x14ac:dyDescent="0.3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spans="1:12" x14ac:dyDescent="0.3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spans="1:12" x14ac:dyDescent="0.3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spans="1:12" x14ac:dyDescent="0.3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spans="1:12" x14ac:dyDescent="0.3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2" x14ac:dyDescent="0.3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2" x14ac:dyDescent="0.3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spans="1:12" x14ac:dyDescent="0.3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2" x14ac:dyDescent="0.3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2" x14ac:dyDescent="0.3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spans="1:12" x14ac:dyDescent="0.3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</row>
  </sheetData>
  <mergeCells count="1">
    <mergeCell ref="A14:F14"/>
  </mergeCells>
  <conditionalFormatting sqref="D16:D21">
    <cfRule type="cellIs" dxfId="10" priority="1" operator="greaterThanOrEqual">
      <formula>1</formula>
    </cfRule>
    <cfRule type="cellIs" dxfId="9" priority="2" operator="between">
      <formula>0.7</formula>
      <formula>0.99</formula>
    </cfRule>
    <cfRule type="cellIs" dxfId="8" priority="3" operator="lessThan">
      <formula>0.7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0"/>
  <sheetViews>
    <sheetView workbookViewId="0">
      <selection activeCell="C7" sqref="C7"/>
    </sheetView>
  </sheetViews>
  <sheetFormatPr defaultRowHeight="14.5" x14ac:dyDescent="0.35"/>
  <cols>
    <col min="1" max="1" width="9" customWidth="1"/>
    <col min="2" max="2" width="14" customWidth="1"/>
    <col min="3" max="3" width="24" customWidth="1"/>
    <col min="4" max="4" width="38" customWidth="1"/>
    <col min="5" max="5" width="18" customWidth="1"/>
    <col min="6" max="6" width="24" customWidth="1"/>
    <col min="7" max="7" width="36" customWidth="1"/>
    <col min="8" max="8" width="24" customWidth="1"/>
    <col min="9" max="9" width="26" customWidth="1"/>
    <col min="10" max="10" width="38" customWidth="1"/>
    <col min="11" max="12" width="20" customWidth="1"/>
  </cols>
  <sheetData>
    <row r="1" spans="1:12" ht="29" x14ac:dyDescent="0.35">
      <c r="A1" s="34" t="s">
        <v>748</v>
      </c>
      <c r="B1" s="39"/>
      <c r="C1" s="39"/>
      <c r="D1" s="39"/>
      <c r="E1" s="39"/>
      <c r="F1" s="39"/>
      <c r="G1" s="39"/>
      <c r="H1" s="39"/>
      <c r="I1" s="39"/>
      <c r="J1" s="39"/>
      <c r="K1" s="49" t="s">
        <v>1</v>
      </c>
      <c r="L1" s="50" t="s">
        <v>2</v>
      </c>
    </row>
    <row r="2" spans="1:12" x14ac:dyDescent="0.35">
      <c r="A2" s="82" t="s">
        <v>749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x14ac:dyDescent="0.3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x14ac:dyDescent="0.35">
      <c r="A4" s="43" t="s">
        <v>750</v>
      </c>
      <c r="B4" s="43" t="s">
        <v>751</v>
      </c>
      <c r="C4" s="43" t="s">
        <v>752</v>
      </c>
      <c r="D4" s="43" t="s">
        <v>753</v>
      </c>
      <c r="E4" s="43" t="s">
        <v>117</v>
      </c>
      <c r="F4" s="43" t="s">
        <v>118</v>
      </c>
      <c r="G4" s="43" t="s">
        <v>119</v>
      </c>
      <c r="H4" s="43" t="s">
        <v>754</v>
      </c>
      <c r="I4" s="43" t="s">
        <v>755</v>
      </c>
      <c r="J4" s="43" t="s">
        <v>756</v>
      </c>
      <c r="K4" s="35" t="s">
        <v>122</v>
      </c>
      <c r="L4" s="35" t="s">
        <v>121</v>
      </c>
    </row>
    <row r="5" spans="1:12" ht="40" customHeight="1" x14ac:dyDescent="0.35">
      <c r="A5" s="105" t="s">
        <v>757</v>
      </c>
      <c r="B5" s="105" t="s">
        <v>529</v>
      </c>
      <c r="C5" s="106" t="s">
        <v>758</v>
      </c>
      <c r="D5" s="106" t="s">
        <v>759</v>
      </c>
      <c r="E5" s="106" t="s">
        <v>760</v>
      </c>
      <c r="F5" s="106" t="s">
        <v>761</v>
      </c>
      <c r="G5" s="107" t="s">
        <v>762</v>
      </c>
      <c r="H5" s="106" t="s">
        <v>763</v>
      </c>
      <c r="I5" s="108" t="s">
        <v>764</v>
      </c>
      <c r="J5" s="109" t="s">
        <v>765</v>
      </c>
      <c r="K5" s="110" t="s">
        <v>138</v>
      </c>
      <c r="L5" s="110" t="s">
        <v>766</v>
      </c>
    </row>
    <row r="6" spans="1:12" ht="40" customHeight="1" x14ac:dyDescent="0.35">
      <c r="A6" s="105" t="s">
        <v>757</v>
      </c>
      <c r="B6" s="105" t="s">
        <v>529</v>
      </c>
      <c r="C6" s="106" t="s">
        <v>767</v>
      </c>
      <c r="D6" s="106" t="s">
        <v>768</v>
      </c>
      <c r="E6" s="106" t="s">
        <v>769</v>
      </c>
      <c r="F6" s="106" t="s">
        <v>770</v>
      </c>
      <c r="G6" s="107" t="s">
        <v>771</v>
      </c>
      <c r="H6" s="106" t="s">
        <v>772</v>
      </c>
      <c r="I6" s="108" t="s">
        <v>773</v>
      </c>
      <c r="J6" s="109" t="s">
        <v>774</v>
      </c>
      <c r="K6" s="110" t="s">
        <v>138</v>
      </c>
      <c r="L6" s="110"/>
    </row>
    <row r="7" spans="1:12" ht="40" customHeight="1" x14ac:dyDescent="0.35">
      <c r="A7" s="105" t="s">
        <v>757</v>
      </c>
      <c r="B7" s="105" t="s">
        <v>201</v>
      </c>
      <c r="C7" s="106" t="s">
        <v>775</v>
      </c>
      <c r="D7" s="106" t="s">
        <v>776</v>
      </c>
      <c r="E7" s="106" t="s">
        <v>777</v>
      </c>
      <c r="F7" s="106" t="s">
        <v>778</v>
      </c>
      <c r="G7" s="107" t="s">
        <v>779</v>
      </c>
      <c r="H7" s="106" t="s">
        <v>780</v>
      </c>
      <c r="I7" s="108" t="s">
        <v>781</v>
      </c>
      <c r="J7" s="109" t="s">
        <v>782</v>
      </c>
      <c r="K7" s="110" t="s">
        <v>145</v>
      </c>
      <c r="L7" s="110" t="s">
        <v>783</v>
      </c>
    </row>
    <row r="8" spans="1:12" ht="40" customHeight="1" x14ac:dyDescent="0.35">
      <c r="A8" s="105" t="s">
        <v>757</v>
      </c>
      <c r="B8" s="105" t="s">
        <v>201</v>
      </c>
      <c r="C8" s="106" t="s">
        <v>784</v>
      </c>
      <c r="D8" s="106" t="s">
        <v>785</v>
      </c>
      <c r="E8" s="106" t="s">
        <v>786</v>
      </c>
      <c r="F8" s="106" t="s">
        <v>787</v>
      </c>
      <c r="G8" s="107" t="s">
        <v>788</v>
      </c>
      <c r="H8" s="106" t="s">
        <v>789</v>
      </c>
      <c r="I8" s="108" t="s">
        <v>790</v>
      </c>
      <c r="J8" s="109" t="s">
        <v>791</v>
      </c>
      <c r="K8" s="110" t="s">
        <v>145</v>
      </c>
      <c r="L8" s="110"/>
    </row>
    <row r="9" spans="1:12" ht="40" customHeight="1" x14ac:dyDescent="0.35">
      <c r="A9" s="105" t="s">
        <v>757</v>
      </c>
      <c r="B9" s="105" t="s">
        <v>201</v>
      </c>
      <c r="C9" s="106" t="s">
        <v>792</v>
      </c>
      <c r="D9" s="106" t="s">
        <v>793</v>
      </c>
      <c r="E9" s="106" t="s">
        <v>794</v>
      </c>
      <c r="F9" s="106" t="s">
        <v>795</v>
      </c>
      <c r="G9" s="107" t="s">
        <v>796</v>
      </c>
      <c r="H9" s="106" t="s">
        <v>797</v>
      </c>
      <c r="I9" s="108" t="s">
        <v>798</v>
      </c>
      <c r="J9" s="109" t="s">
        <v>799</v>
      </c>
      <c r="K9" s="110" t="s">
        <v>145</v>
      </c>
      <c r="L9" s="110"/>
    </row>
    <row r="10" spans="1:12" ht="40" customHeight="1" x14ac:dyDescent="0.35">
      <c r="A10" s="105" t="s">
        <v>757</v>
      </c>
      <c r="B10" s="105" t="s">
        <v>800</v>
      </c>
      <c r="C10" s="106" t="s">
        <v>801</v>
      </c>
      <c r="D10" s="106" t="s">
        <v>802</v>
      </c>
      <c r="E10" s="106" t="s">
        <v>803</v>
      </c>
      <c r="F10" s="106" t="s">
        <v>804</v>
      </c>
      <c r="G10" s="107" t="s">
        <v>805</v>
      </c>
      <c r="H10" s="106" t="s">
        <v>806</v>
      </c>
      <c r="I10" s="108" t="s">
        <v>807</v>
      </c>
      <c r="J10" s="109" t="s">
        <v>808</v>
      </c>
      <c r="K10" s="110" t="s">
        <v>145</v>
      </c>
      <c r="L10" s="110" t="s">
        <v>809</v>
      </c>
    </row>
    <row r="11" spans="1:12" ht="40" customHeight="1" x14ac:dyDescent="0.35">
      <c r="A11" s="105" t="s">
        <v>757</v>
      </c>
      <c r="B11" s="105" t="s">
        <v>800</v>
      </c>
      <c r="C11" s="106" t="s">
        <v>810</v>
      </c>
      <c r="D11" s="106" t="s">
        <v>811</v>
      </c>
      <c r="E11" s="106" t="s">
        <v>803</v>
      </c>
      <c r="F11" s="106" t="s">
        <v>812</v>
      </c>
      <c r="G11" s="107" t="s">
        <v>813</v>
      </c>
      <c r="H11" s="106" t="s">
        <v>814</v>
      </c>
      <c r="I11" s="108" t="s">
        <v>815</v>
      </c>
      <c r="J11" s="109" t="s">
        <v>816</v>
      </c>
      <c r="K11" s="110" t="s">
        <v>145</v>
      </c>
      <c r="L11" s="110"/>
    </row>
    <row r="12" spans="1:12" ht="40" customHeight="1" x14ac:dyDescent="0.35">
      <c r="A12" s="105" t="s">
        <v>757</v>
      </c>
      <c r="B12" s="105" t="s">
        <v>800</v>
      </c>
      <c r="C12" s="106" t="s">
        <v>817</v>
      </c>
      <c r="D12" s="106" t="s">
        <v>818</v>
      </c>
      <c r="E12" s="106" t="s">
        <v>819</v>
      </c>
      <c r="F12" s="106" t="s">
        <v>820</v>
      </c>
      <c r="G12" s="107" t="s">
        <v>821</v>
      </c>
      <c r="H12" s="106" t="s">
        <v>822</v>
      </c>
      <c r="I12" s="108" t="s">
        <v>823</v>
      </c>
      <c r="J12" s="109" t="s">
        <v>824</v>
      </c>
      <c r="K12" s="110" t="s">
        <v>145</v>
      </c>
      <c r="L12" s="110"/>
    </row>
    <row r="13" spans="1:12" ht="40" customHeight="1" x14ac:dyDescent="0.35">
      <c r="A13" s="105" t="s">
        <v>825</v>
      </c>
      <c r="B13" s="105" t="s">
        <v>211</v>
      </c>
      <c r="C13" s="106" t="s">
        <v>826</v>
      </c>
      <c r="D13" s="106" t="s">
        <v>827</v>
      </c>
      <c r="E13" s="106" t="s">
        <v>828</v>
      </c>
      <c r="F13" s="106" t="s">
        <v>829</v>
      </c>
      <c r="G13" s="107" t="s">
        <v>830</v>
      </c>
      <c r="H13" s="106" t="s">
        <v>831</v>
      </c>
      <c r="I13" s="108" t="s">
        <v>832</v>
      </c>
      <c r="J13" s="109" t="s">
        <v>833</v>
      </c>
      <c r="K13" s="110" t="s">
        <v>138</v>
      </c>
      <c r="L13" s="110"/>
    </row>
    <row r="14" spans="1:12" ht="40" customHeight="1" x14ac:dyDescent="0.35">
      <c r="A14" s="105" t="s">
        <v>825</v>
      </c>
      <c r="B14" s="105" t="s">
        <v>211</v>
      </c>
      <c r="C14" s="106" t="s">
        <v>834</v>
      </c>
      <c r="D14" s="106" t="s">
        <v>835</v>
      </c>
      <c r="E14" s="106" t="s">
        <v>828</v>
      </c>
      <c r="F14" s="106" t="s">
        <v>836</v>
      </c>
      <c r="G14" s="107" t="s">
        <v>837</v>
      </c>
      <c r="H14" s="106" t="s">
        <v>838</v>
      </c>
      <c r="I14" s="108" t="s">
        <v>839</v>
      </c>
      <c r="J14" s="109" t="s">
        <v>840</v>
      </c>
      <c r="K14" s="110" t="s">
        <v>138</v>
      </c>
      <c r="L14" s="110"/>
    </row>
    <row r="15" spans="1:12" ht="40" customHeight="1" x14ac:dyDescent="0.35">
      <c r="A15" s="105" t="s">
        <v>825</v>
      </c>
      <c r="B15" s="105" t="s">
        <v>211</v>
      </c>
      <c r="C15" s="106" t="s">
        <v>841</v>
      </c>
      <c r="D15" s="106" t="s">
        <v>842</v>
      </c>
      <c r="E15" s="106" t="s">
        <v>843</v>
      </c>
      <c r="F15" s="106" t="s">
        <v>844</v>
      </c>
      <c r="G15" s="107" t="s">
        <v>845</v>
      </c>
      <c r="H15" s="106" t="s">
        <v>846</v>
      </c>
      <c r="I15" s="108" t="s">
        <v>847</v>
      </c>
      <c r="J15" s="109" t="s">
        <v>848</v>
      </c>
      <c r="K15" s="110" t="s">
        <v>138</v>
      </c>
      <c r="L15" s="110"/>
    </row>
    <row r="16" spans="1:12" ht="40" customHeight="1" x14ac:dyDescent="0.35">
      <c r="A16" s="105" t="s">
        <v>825</v>
      </c>
      <c r="B16" s="105" t="s">
        <v>849</v>
      </c>
      <c r="C16" s="106" t="s">
        <v>850</v>
      </c>
      <c r="D16" s="106" t="s">
        <v>851</v>
      </c>
      <c r="E16" s="106" t="s">
        <v>852</v>
      </c>
      <c r="F16" s="106" t="s">
        <v>853</v>
      </c>
      <c r="G16" s="107" t="s">
        <v>854</v>
      </c>
      <c r="H16" s="106" t="s">
        <v>855</v>
      </c>
      <c r="I16" s="108" t="s">
        <v>856</v>
      </c>
      <c r="J16" s="109" t="s">
        <v>857</v>
      </c>
      <c r="K16" s="110" t="s">
        <v>138</v>
      </c>
      <c r="L16" s="110"/>
    </row>
    <row r="17" spans="1:12" ht="40" customHeight="1" x14ac:dyDescent="0.35">
      <c r="A17" s="105" t="s">
        <v>825</v>
      </c>
      <c r="B17" s="105" t="s">
        <v>858</v>
      </c>
      <c r="C17" s="106" t="s">
        <v>859</v>
      </c>
      <c r="D17" s="106" t="s">
        <v>860</v>
      </c>
      <c r="E17" s="106" t="s">
        <v>828</v>
      </c>
      <c r="F17" s="106" t="s">
        <v>861</v>
      </c>
      <c r="G17" s="107" t="s">
        <v>862</v>
      </c>
      <c r="H17" s="106" t="s">
        <v>863</v>
      </c>
      <c r="I17" s="108" t="s">
        <v>864</v>
      </c>
      <c r="J17" s="109" t="s">
        <v>865</v>
      </c>
      <c r="K17" s="110" t="s">
        <v>138</v>
      </c>
      <c r="L17" s="110"/>
    </row>
    <row r="18" spans="1:12" ht="40" customHeight="1" x14ac:dyDescent="0.35">
      <c r="A18" s="105" t="s">
        <v>825</v>
      </c>
      <c r="B18" s="105" t="s">
        <v>866</v>
      </c>
      <c r="C18" s="106" t="s">
        <v>867</v>
      </c>
      <c r="D18" s="106" t="s">
        <v>868</v>
      </c>
      <c r="E18" s="106" t="s">
        <v>869</v>
      </c>
      <c r="F18" s="106" t="s">
        <v>870</v>
      </c>
      <c r="G18" s="107" t="s">
        <v>871</v>
      </c>
      <c r="H18" s="106" t="s">
        <v>872</v>
      </c>
      <c r="I18" s="108" t="s">
        <v>873</v>
      </c>
      <c r="J18" s="109" t="s">
        <v>874</v>
      </c>
      <c r="K18" s="110" t="s">
        <v>145</v>
      </c>
      <c r="L18" s="110"/>
    </row>
    <row r="19" spans="1:12" ht="40" customHeight="1" x14ac:dyDescent="0.35">
      <c r="A19" s="105" t="s">
        <v>825</v>
      </c>
      <c r="B19" s="105" t="s">
        <v>222</v>
      </c>
      <c r="C19" s="106" t="s">
        <v>875</v>
      </c>
      <c r="D19" s="106" t="s">
        <v>876</v>
      </c>
      <c r="E19" s="106" t="s">
        <v>877</v>
      </c>
      <c r="F19" s="106" t="s">
        <v>878</v>
      </c>
      <c r="G19" s="107" t="s">
        <v>879</v>
      </c>
      <c r="H19" s="106" t="s">
        <v>880</v>
      </c>
      <c r="I19" s="108" t="s">
        <v>881</v>
      </c>
      <c r="J19" s="109" t="s">
        <v>882</v>
      </c>
      <c r="K19" s="110" t="s">
        <v>228</v>
      </c>
      <c r="L19" s="110"/>
    </row>
    <row r="20" spans="1:12" ht="40" customHeight="1" x14ac:dyDescent="0.35">
      <c r="A20" s="105" t="s">
        <v>883</v>
      </c>
      <c r="B20" s="105" t="s">
        <v>533</v>
      </c>
      <c r="C20" s="106" t="s">
        <v>884</v>
      </c>
      <c r="D20" s="106" t="s">
        <v>885</v>
      </c>
      <c r="E20" s="106" t="s">
        <v>886</v>
      </c>
      <c r="F20" s="106" t="s">
        <v>887</v>
      </c>
      <c r="G20" s="107" t="s">
        <v>888</v>
      </c>
      <c r="H20" s="106" t="s">
        <v>889</v>
      </c>
      <c r="I20" s="108" t="s">
        <v>890</v>
      </c>
      <c r="J20" s="109" t="s">
        <v>891</v>
      </c>
      <c r="K20" s="110" t="s">
        <v>138</v>
      </c>
      <c r="L20" s="110"/>
    </row>
    <row r="21" spans="1:12" ht="40" customHeight="1" x14ac:dyDescent="0.35">
      <c r="A21" s="105" t="s">
        <v>883</v>
      </c>
      <c r="B21" s="105" t="s">
        <v>533</v>
      </c>
      <c r="C21" s="106" t="s">
        <v>892</v>
      </c>
      <c r="D21" s="106" t="s">
        <v>893</v>
      </c>
      <c r="E21" s="106" t="s">
        <v>894</v>
      </c>
      <c r="F21" s="106" t="s">
        <v>895</v>
      </c>
      <c r="G21" s="107" t="s">
        <v>896</v>
      </c>
      <c r="H21" s="106" t="s">
        <v>897</v>
      </c>
      <c r="I21" s="108" t="s">
        <v>898</v>
      </c>
      <c r="J21" s="109" t="s">
        <v>899</v>
      </c>
      <c r="K21" s="110" t="s">
        <v>138</v>
      </c>
      <c r="L21" s="110"/>
    </row>
    <row r="22" spans="1:12" ht="40" customHeight="1" x14ac:dyDescent="0.35">
      <c r="A22" s="15"/>
      <c r="B22" s="15"/>
      <c r="C22" s="8"/>
      <c r="D22" s="8"/>
      <c r="E22" s="8"/>
      <c r="F22" s="8"/>
      <c r="G22" s="16"/>
      <c r="H22" s="8"/>
      <c r="I22" s="17"/>
      <c r="J22" s="18"/>
      <c r="K22" s="40"/>
      <c r="L22" s="40"/>
    </row>
    <row r="23" spans="1:12" ht="40" customHeight="1" x14ac:dyDescent="0.35">
      <c r="A23" s="15"/>
      <c r="B23" s="15"/>
      <c r="C23" s="8"/>
      <c r="D23" s="8"/>
      <c r="E23" s="8"/>
      <c r="F23" s="8"/>
      <c r="G23" s="16"/>
      <c r="H23" s="8"/>
      <c r="I23" s="17"/>
      <c r="J23" s="18"/>
      <c r="K23" s="40"/>
      <c r="L23" s="40"/>
    </row>
    <row r="24" spans="1:12" ht="40" customHeight="1" x14ac:dyDescent="0.35">
      <c r="A24" s="15"/>
      <c r="B24" s="15"/>
      <c r="C24" s="8"/>
      <c r="D24" s="8"/>
      <c r="E24" s="8"/>
      <c r="F24" s="8"/>
      <c r="G24" s="16"/>
      <c r="H24" s="8"/>
      <c r="I24" s="17"/>
      <c r="J24" s="18"/>
      <c r="K24" s="40"/>
      <c r="L24" s="40"/>
    </row>
    <row r="25" spans="1:12" ht="40" customHeight="1" x14ac:dyDescent="0.35">
      <c r="A25" s="15"/>
      <c r="B25" s="15"/>
      <c r="C25" s="8"/>
      <c r="D25" s="8"/>
      <c r="E25" s="8"/>
      <c r="F25" s="8"/>
      <c r="G25" s="16"/>
      <c r="H25" s="8"/>
      <c r="I25" s="17"/>
      <c r="J25" s="18"/>
      <c r="K25" s="40"/>
      <c r="L25" s="40"/>
    </row>
    <row r="26" spans="1:12" ht="40" customHeight="1" x14ac:dyDescent="0.35">
      <c r="A26" s="15"/>
      <c r="B26" s="15"/>
      <c r="C26" s="8"/>
      <c r="D26" s="8"/>
      <c r="E26" s="8"/>
      <c r="F26" s="8"/>
      <c r="G26" s="16"/>
      <c r="H26" s="8"/>
      <c r="I26" s="17"/>
      <c r="J26" s="18"/>
      <c r="K26" s="40"/>
      <c r="L26" s="40"/>
    </row>
    <row r="27" spans="1:12" ht="40" customHeight="1" x14ac:dyDescent="0.35">
      <c r="A27" s="15"/>
      <c r="B27" s="15"/>
      <c r="C27" s="8"/>
      <c r="D27" s="8"/>
      <c r="E27" s="8"/>
      <c r="F27" s="8"/>
      <c r="G27" s="16"/>
      <c r="H27" s="8"/>
      <c r="I27" s="17"/>
      <c r="J27" s="18"/>
      <c r="K27" s="40"/>
      <c r="L27" s="40"/>
    </row>
    <row r="28" spans="1:12" ht="40" customHeight="1" x14ac:dyDescent="0.35">
      <c r="A28" s="15"/>
      <c r="B28" s="15"/>
      <c r="C28" s="8"/>
      <c r="D28" s="8"/>
      <c r="E28" s="8"/>
      <c r="F28" s="8"/>
      <c r="G28" s="16"/>
      <c r="H28" s="8"/>
      <c r="I28" s="17"/>
      <c r="J28" s="18"/>
      <c r="K28" s="40"/>
      <c r="L28" s="40"/>
    </row>
    <row r="29" spans="1:12" x14ac:dyDescent="0.3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spans="1:12" x14ac:dyDescent="0.3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spans="1:12" x14ac:dyDescent="0.3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spans="1:12" x14ac:dyDescent="0.3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spans="1:12" x14ac:dyDescent="0.3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spans="1:12" x14ac:dyDescent="0.3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spans="1:12" x14ac:dyDescent="0.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spans="1:12" x14ac:dyDescent="0.3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1:12" x14ac:dyDescent="0.3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1:12" x14ac:dyDescent="0.3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spans="1:12" x14ac:dyDescent="0.3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spans="1:12" x14ac:dyDescent="0.3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1:12" x14ac:dyDescent="0.3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spans="1:12" x14ac:dyDescent="0.3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spans="1:12" x14ac:dyDescent="0.3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x14ac:dyDescent="0.3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spans="1:12" x14ac:dyDescent="0.3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1:12" x14ac:dyDescent="0.3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2" x14ac:dyDescent="0.3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spans="1:12" x14ac:dyDescent="0.3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spans="1:12" x14ac:dyDescent="0.3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spans="1:12" x14ac:dyDescent="0.3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spans="1:12" x14ac:dyDescent="0.3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spans="1:12" x14ac:dyDescent="0.3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spans="1:12" x14ac:dyDescent="0.3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spans="1:12" x14ac:dyDescent="0.3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2" x14ac:dyDescent="0.3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2" x14ac:dyDescent="0.3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spans="1:12" x14ac:dyDescent="0.3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2" x14ac:dyDescent="0.3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2" x14ac:dyDescent="0.3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spans="1:12" x14ac:dyDescent="0.3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2" x14ac:dyDescent="0.3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2" x14ac:dyDescent="0.3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2" x14ac:dyDescent="0.3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2" x14ac:dyDescent="0.3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2" x14ac:dyDescent="0.3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2" x14ac:dyDescent="0.3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2" x14ac:dyDescent="0.3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2" x14ac:dyDescent="0.3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2" x14ac:dyDescent="0.3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2" x14ac:dyDescent="0.3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2" x14ac:dyDescent="0.3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spans="1:12" x14ac:dyDescent="0.3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2" x14ac:dyDescent="0.3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spans="1:12" x14ac:dyDescent="0.3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2" x14ac:dyDescent="0.3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2" x14ac:dyDescent="0.3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2" x14ac:dyDescent="0.3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2" x14ac:dyDescent="0.3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2" x14ac:dyDescent="0.3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2" x14ac:dyDescent="0.3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2"/>
  <sheetViews>
    <sheetView topLeftCell="A26" workbookViewId="0">
      <selection activeCell="A48" sqref="A48"/>
    </sheetView>
  </sheetViews>
  <sheetFormatPr defaultRowHeight="14.5" x14ac:dyDescent="0.35"/>
  <cols>
    <col min="1" max="1" width="86.81640625" customWidth="1"/>
    <col min="2" max="2" width="55.81640625" customWidth="1"/>
    <col min="3" max="3" width="33.36328125" customWidth="1"/>
    <col min="4" max="4" width="54.6328125" customWidth="1"/>
    <col min="5" max="5" width="53.453125" customWidth="1"/>
    <col min="6" max="6" width="28.36328125" customWidth="1"/>
    <col min="7" max="7" width="30.7265625" customWidth="1"/>
    <col min="8" max="8" width="19.54296875" customWidth="1"/>
    <col min="9" max="9" width="35" customWidth="1"/>
    <col min="11" max="12" width="20" customWidth="1"/>
  </cols>
  <sheetData>
    <row r="1" spans="1:12" ht="23.5" x14ac:dyDescent="0.55000000000000004">
      <c r="A1" s="111" t="s">
        <v>900</v>
      </c>
      <c r="K1" s="47" t="s">
        <v>1</v>
      </c>
      <c r="L1" s="48" t="s">
        <v>2</v>
      </c>
    </row>
    <row r="2" spans="1:12" ht="23.5" x14ac:dyDescent="0.55000000000000004">
      <c r="A2" s="112" t="s">
        <v>901</v>
      </c>
    </row>
    <row r="4" spans="1:12" x14ac:dyDescent="0.35">
      <c r="A4" s="57" t="str">
        <f>"Daily targets: " &amp; '01_Personal_Settings'!B19 &amp; " g protein · " &amp; '01_Personal_Settings'!B21 &amp; " L water · " &amp; ROUND('01_Personal_Settings'!B20,0) &amp; " g protein/meal (leucine threshold)"</f>
        <v>Daily targets: 94 g protein · 1.8 L water · 24 g protein/meal (leucine threshold)</v>
      </c>
      <c r="B4" s="53"/>
      <c r="C4" s="53"/>
      <c r="D4" s="53"/>
      <c r="E4" s="53"/>
      <c r="F4" s="53"/>
      <c r="G4" s="53"/>
      <c r="H4" s="53"/>
      <c r="I4" s="53"/>
    </row>
    <row r="6" spans="1:12" ht="15.5" x14ac:dyDescent="0.35">
      <c r="A6" s="52" t="s">
        <v>902</v>
      </c>
      <c r="B6" s="53"/>
      <c r="C6" s="53"/>
      <c r="D6" s="53"/>
      <c r="E6" s="53"/>
      <c r="F6" s="53"/>
      <c r="G6" s="53"/>
      <c r="H6" s="53"/>
      <c r="I6" s="53"/>
    </row>
    <row r="7" spans="1:12" x14ac:dyDescent="0.35">
      <c r="A7" s="6" t="s">
        <v>196</v>
      </c>
      <c r="B7" s="6" t="s">
        <v>665</v>
      </c>
      <c r="C7" s="6" t="s">
        <v>903</v>
      </c>
      <c r="D7" s="6" t="s">
        <v>904</v>
      </c>
      <c r="E7" s="6" t="s">
        <v>119</v>
      </c>
      <c r="F7" s="6" t="s">
        <v>905</v>
      </c>
      <c r="G7" s="6" t="s">
        <v>200</v>
      </c>
      <c r="H7" s="6" t="s">
        <v>122</v>
      </c>
      <c r="I7" s="6" t="s">
        <v>121</v>
      </c>
    </row>
    <row r="8" spans="1:12" ht="26" x14ac:dyDescent="0.35">
      <c r="A8" s="115" t="s">
        <v>906</v>
      </c>
      <c r="B8" s="116" t="str">
        <f>" "&amp;'01_Personal_Settings'!B19&amp;" g/day = ~1.6 g/kg"</f>
        <v xml:space="preserve"> 94 g/day = ~1.6 g/kg</v>
      </c>
      <c r="C8" s="10" t="s">
        <v>907</v>
      </c>
      <c r="D8" s="10" t="s">
        <v>908</v>
      </c>
      <c r="E8" s="10" t="s">
        <v>909</v>
      </c>
      <c r="F8" s="10" t="s">
        <v>61</v>
      </c>
      <c r="G8" s="10" t="s">
        <v>910</v>
      </c>
      <c r="H8" s="10" t="s">
        <v>911</v>
      </c>
      <c r="I8" s="10" t="s">
        <v>912</v>
      </c>
    </row>
    <row r="9" spans="1:12" ht="26" x14ac:dyDescent="0.35">
      <c r="A9" s="115" t="s">
        <v>913</v>
      </c>
      <c r="B9" s="115" t="s">
        <v>914</v>
      </c>
      <c r="C9" s="10" t="s">
        <v>915</v>
      </c>
      <c r="D9" s="10" t="s">
        <v>916</v>
      </c>
      <c r="E9" s="10" t="s">
        <v>917</v>
      </c>
      <c r="F9" s="10" t="s">
        <v>434</v>
      </c>
      <c r="G9" s="10" t="s">
        <v>918</v>
      </c>
      <c r="H9" s="10" t="s">
        <v>168</v>
      </c>
      <c r="I9" s="10" t="s">
        <v>919</v>
      </c>
    </row>
    <row r="10" spans="1:12" ht="26" x14ac:dyDescent="0.35">
      <c r="A10" s="115" t="s">
        <v>920</v>
      </c>
      <c r="B10" s="115" t="s">
        <v>921</v>
      </c>
      <c r="C10" s="10" t="s">
        <v>922</v>
      </c>
      <c r="D10" s="10" t="s">
        <v>923</v>
      </c>
      <c r="E10" s="10" t="s">
        <v>924</v>
      </c>
      <c r="F10" s="10" t="s">
        <v>61</v>
      </c>
      <c r="G10" s="10" t="s">
        <v>925</v>
      </c>
      <c r="H10" s="10" t="s">
        <v>926</v>
      </c>
      <c r="I10" s="10" t="s">
        <v>927</v>
      </c>
    </row>
    <row r="11" spans="1:12" ht="26" x14ac:dyDescent="0.35">
      <c r="A11" s="115" t="s">
        <v>928</v>
      </c>
      <c r="B11" s="115" t="s">
        <v>929</v>
      </c>
      <c r="C11" s="10" t="s">
        <v>930</v>
      </c>
      <c r="D11" s="10" t="s">
        <v>931</v>
      </c>
      <c r="E11" s="10" t="s">
        <v>932</v>
      </c>
      <c r="F11" s="10" t="s">
        <v>61</v>
      </c>
      <c r="G11" s="10" t="s">
        <v>933</v>
      </c>
      <c r="H11" s="10" t="s">
        <v>934</v>
      </c>
      <c r="I11" s="10" t="s">
        <v>935</v>
      </c>
    </row>
    <row r="12" spans="1:12" ht="26" x14ac:dyDescent="0.35">
      <c r="A12" s="115" t="s">
        <v>936</v>
      </c>
      <c r="B12" s="115" t="s">
        <v>937</v>
      </c>
      <c r="C12" s="10" t="s">
        <v>938</v>
      </c>
      <c r="D12" s="10" t="s">
        <v>939</v>
      </c>
      <c r="E12" s="10" t="s">
        <v>940</v>
      </c>
      <c r="F12" s="10" t="s">
        <v>61</v>
      </c>
      <c r="G12" s="10" t="s">
        <v>941</v>
      </c>
      <c r="H12" s="10" t="s">
        <v>168</v>
      </c>
      <c r="I12" s="10" t="s">
        <v>942</v>
      </c>
    </row>
    <row r="13" spans="1:12" ht="26" x14ac:dyDescent="0.35">
      <c r="A13" s="115" t="s">
        <v>448</v>
      </c>
      <c r="B13" s="116" t="str">
        <f>" "&amp;'01_Personal_Settings'!B21&amp;" L/day"</f>
        <v xml:space="preserve"> 1.8 L/day</v>
      </c>
      <c r="C13" s="10" t="s">
        <v>943</v>
      </c>
      <c r="D13" s="10" t="s">
        <v>944</v>
      </c>
      <c r="E13" s="10" t="s">
        <v>945</v>
      </c>
      <c r="F13" s="10" t="s">
        <v>61</v>
      </c>
      <c r="G13" s="10" t="s">
        <v>946</v>
      </c>
      <c r="H13" s="10" t="s">
        <v>453</v>
      </c>
      <c r="I13" s="10" t="s">
        <v>947</v>
      </c>
    </row>
    <row r="14" spans="1:12" ht="26" x14ac:dyDescent="0.35">
      <c r="A14" s="115" t="s">
        <v>948</v>
      </c>
      <c r="B14" s="115" t="s">
        <v>949</v>
      </c>
      <c r="C14" s="10" t="s">
        <v>950</v>
      </c>
      <c r="D14" s="10" t="s">
        <v>951</v>
      </c>
      <c r="E14" s="10" t="s">
        <v>952</v>
      </c>
      <c r="F14" s="10" t="s">
        <v>953</v>
      </c>
      <c r="G14" s="10" t="s">
        <v>954</v>
      </c>
      <c r="H14" s="10" t="s">
        <v>168</v>
      </c>
      <c r="I14" s="10" t="s">
        <v>955</v>
      </c>
    </row>
    <row r="17" spans="1:9" s="117" customFormat="1" ht="18.5" x14ac:dyDescent="0.45">
      <c r="A17" s="75" t="s">
        <v>956</v>
      </c>
      <c r="B17" s="79"/>
      <c r="C17" s="79"/>
      <c r="D17" s="79"/>
      <c r="E17" s="79"/>
      <c r="F17" s="79"/>
      <c r="G17" s="79"/>
      <c r="H17" s="79"/>
      <c r="I17" s="79"/>
    </row>
    <row r="18" spans="1:9" s="117" customFormat="1" ht="18.5" x14ac:dyDescent="0.45">
      <c r="A18" s="118" t="s">
        <v>957</v>
      </c>
      <c r="B18" s="118" t="s">
        <v>958</v>
      </c>
      <c r="C18" s="118" t="s">
        <v>959</v>
      </c>
      <c r="D18" s="118" t="s">
        <v>960</v>
      </c>
      <c r="E18" s="118" t="s">
        <v>961</v>
      </c>
      <c r="F18" s="118" t="s">
        <v>962</v>
      </c>
      <c r="G18" s="118" t="s">
        <v>963</v>
      </c>
      <c r="H18" s="118" t="s">
        <v>122</v>
      </c>
      <c r="I18" s="118" t="s">
        <v>121</v>
      </c>
    </row>
    <row r="19" spans="1:9" s="117" customFormat="1" ht="37" x14ac:dyDescent="0.45">
      <c r="A19" s="113" t="s">
        <v>298</v>
      </c>
      <c r="B19" s="113" t="s">
        <v>964</v>
      </c>
      <c r="C19" s="113" t="s">
        <v>965</v>
      </c>
      <c r="D19" s="113" t="s">
        <v>966</v>
      </c>
      <c r="E19" s="113" t="s">
        <v>967</v>
      </c>
      <c r="F19" s="114" t="str">
        <f>"~"&amp;'01_Personal_Settings'!B20&amp;" g"</f>
        <v>~24 g</v>
      </c>
      <c r="G19" s="113" t="s">
        <v>968</v>
      </c>
      <c r="H19" s="113" t="s">
        <v>304</v>
      </c>
      <c r="I19" s="113" t="s">
        <v>969</v>
      </c>
    </row>
    <row r="20" spans="1:9" s="117" customFormat="1" ht="37" x14ac:dyDescent="0.45">
      <c r="A20" s="113" t="s">
        <v>970</v>
      </c>
      <c r="B20" s="113" t="s">
        <v>971</v>
      </c>
      <c r="C20" s="113" t="s">
        <v>972</v>
      </c>
      <c r="D20" s="113" t="s">
        <v>973</v>
      </c>
      <c r="E20" s="113" t="s">
        <v>974</v>
      </c>
      <c r="F20" s="114" t="str">
        <f>"~"&amp;'01_Personal_Settings'!B20&amp;" g"</f>
        <v>~24 g</v>
      </c>
      <c r="G20" s="113" t="s">
        <v>975</v>
      </c>
      <c r="H20" s="113" t="s">
        <v>168</v>
      </c>
      <c r="I20" s="113" t="s">
        <v>976</v>
      </c>
    </row>
    <row r="21" spans="1:9" s="117" customFormat="1" ht="37" x14ac:dyDescent="0.45">
      <c r="A21" s="113" t="s">
        <v>343</v>
      </c>
      <c r="B21" s="113" t="s">
        <v>977</v>
      </c>
      <c r="C21" s="113" t="s">
        <v>978</v>
      </c>
      <c r="D21" s="113" t="s">
        <v>979</v>
      </c>
      <c r="E21" s="113" t="s">
        <v>980</v>
      </c>
      <c r="F21" s="114" t="str">
        <f>"~"&amp;'01_Personal_Settings'!B20&amp;" g"</f>
        <v>~24 g</v>
      </c>
      <c r="G21" s="113" t="s">
        <v>981</v>
      </c>
      <c r="H21" s="113" t="s">
        <v>349</v>
      </c>
      <c r="I21" s="113" t="s">
        <v>982</v>
      </c>
    </row>
    <row r="22" spans="1:9" s="117" customFormat="1" ht="37" x14ac:dyDescent="0.45">
      <c r="A22" s="113" t="s">
        <v>983</v>
      </c>
      <c r="B22" s="113" t="s">
        <v>984</v>
      </c>
      <c r="C22" s="113" t="s">
        <v>985</v>
      </c>
      <c r="D22" s="113" t="s">
        <v>986</v>
      </c>
      <c r="E22" s="113" t="s">
        <v>987</v>
      </c>
      <c r="F22" s="113" t="s">
        <v>988</v>
      </c>
      <c r="G22" s="113" t="s">
        <v>968</v>
      </c>
      <c r="H22" s="113" t="s">
        <v>162</v>
      </c>
      <c r="I22" s="113" t="s">
        <v>989</v>
      </c>
    </row>
    <row r="23" spans="1:9" s="117" customFormat="1" ht="18.5" x14ac:dyDescent="0.45"/>
    <row r="24" spans="1:9" s="117" customFormat="1" ht="18.5" x14ac:dyDescent="0.45"/>
    <row r="25" spans="1:9" s="117" customFormat="1" ht="18.5" x14ac:dyDescent="0.45">
      <c r="A25" s="75" t="s">
        <v>990</v>
      </c>
      <c r="B25" s="79"/>
      <c r="C25" s="79"/>
      <c r="D25" s="79"/>
      <c r="E25" s="79"/>
      <c r="F25" s="79"/>
      <c r="G25" s="79"/>
      <c r="H25" s="79"/>
      <c r="I25" s="79"/>
    </row>
    <row r="26" spans="1:9" s="117" customFormat="1" ht="18.5" x14ac:dyDescent="0.45">
      <c r="A26" s="118" t="s">
        <v>991</v>
      </c>
      <c r="B26" s="118" t="s">
        <v>992</v>
      </c>
      <c r="C26" s="118" t="s">
        <v>993</v>
      </c>
      <c r="D26" s="118" t="s">
        <v>994</v>
      </c>
      <c r="E26" s="118" t="s">
        <v>995</v>
      </c>
      <c r="F26" s="118" t="s">
        <v>121</v>
      </c>
      <c r="G26" s="118" t="s">
        <v>4</v>
      </c>
      <c r="H26" s="118" t="s">
        <v>4</v>
      </c>
      <c r="I26" s="118" t="s">
        <v>4</v>
      </c>
    </row>
    <row r="27" spans="1:9" s="117" customFormat="1" ht="18.5" x14ac:dyDescent="0.45">
      <c r="A27" s="119" t="s">
        <v>996</v>
      </c>
      <c r="B27" s="120" t="s">
        <v>997</v>
      </c>
      <c r="C27" s="120">
        <v>25</v>
      </c>
      <c r="D27" s="120">
        <v>2</v>
      </c>
      <c r="E27" s="120" t="str">
        <f>IF(C27&gt;='01_Personal_Settings'!$B$20,"✓ Yes",IF(C27&gt;='01_Personal_Settings'!$B$20*0.6,"Partial","No"))</f>
        <v>✓ Yes</v>
      </c>
      <c r="F27" s="121" t="s">
        <v>998</v>
      </c>
    </row>
    <row r="28" spans="1:9" s="117" customFormat="1" ht="18.5" x14ac:dyDescent="0.45">
      <c r="A28" s="119" t="s">
        <v>999</v>
      </c>
      <c r="B28" s="120" t="s">
        <v>997</v>
      </c>
      <c r="C28" s="120">
        <v>30</v>
      </c>
      <c r="D28" s="120">
        <v>2.4</v>
      </c>
      <c r="E28" s="120" t="str">
        <f>IF(C28&gt;='01_Personal_Settings'!$B$20,"✓ Yes",IF(C28&gt;='01_Personal_Settings'!$B$20*0.6,"Partial","No"))</f>
        <v>✓ Yes</v>
      </c>
      <c r="F28" s="121" t="s">
        <v>1000</v>
      </c>
    </row>
    <row r="29" spans="1:9" s="117" customFormat="1" ht="18.5" x14ac:dyDescent="0.45">
      <c r="A29" s="119" t="s">
        <v>1001</v>
      </c>
      <c r="B29" s="120" t="s">
        <v>1002</v>
      </c>
      <c r="C29" s="120">
        <v>23</v>
      </c>
      <c r="D29" s="120">
        <v>2.4</v>
      </c>
      <c r="E29" s="120" t="str">
        <f>IF(C29&gt;='01_Personal_Settings'!$B$20,"✓ Yes",IF(C29&gt;='01_Personal_Settings'!$B$20*0.6,"Partial","No"))</f>
        <v>Partial</v>
      </c>
      <c r="F29" s="121" t="s">
        <v>1003</v>
      </c>
    </row>
    <row r="30" spans="1:9" s="117" customFormat="1" ht="18.5" x14ac:dyDescent="0.45">
      <c r="A30" s="119" t="s">
        <v>1004</v>
      </c>
      <c r="B30" s="120" t="s">
        <v>1005</v>
      </c>
      <c r="C30" s="120">
        <v>18</v>
      </c>
      <c r="D30" s="120">
        <v>1.5</v>
      </c>
      <c r="E30" s="120" t="str">
        <f>IF(C30&gt;='01_Personal_Settings'!$B$20,"✓ Yes",IF(C30&gt;='01_Personal_Settings'!$B$20*0.6,"Partial","No"))</f>
        <v>Partial</v>
      </c>
      <c r="F30" s="121" t="s">
        <v>1006</v>
      </c>
    </row>
    <row r="31" spans="1:9" s="117" customFormat="1" ht="18.5" x14ac:dyDescent="0.45">
      <c r="A31" s="119" t="s">
        <v>1007</v>
      </c>
      <c r="B31" s="120" t="s">
        <v>1008</v>
      </c>
      <c r="C31" s="120">
        <v>28</v>
      </c>
      <c r="D31" s="120">
        <v>2.8</v>
      </c>
      <c r="E31" s="120" t="str">
        <f>IF(C31&gt;='01_Personal_Settings'!$B$20,"✓ Yes",IF(C31&gt;='01_Personal_Settings'!$B$20*0.6,"Partial","No"))</f>
        <v>✓ Yes</v>
      </c>
      <c r="F31" s="121" t="s">
        <v>1009</v>
      </c>
    </row>
    <row r="32" spans="1:9" s="117" customFormat="1" ht="20" customHeight="1" x14ac:dyDescent="0.45">
      <c r="A32" s="119" t="s">
        <v>1010</v>
      </c>
      <c r="B32" s="120" t="s">
        <v>1008</v>
      </c>
      <c r="C32" s="120">
        <v>18</v>
      </c>
      <c r="D32" s="120">
        <v>1.4</v>
      </c>
      <c r="E32" s="120" t="str">
        <f>IF(C32&gt;='01_Personal_Settings'!$B$20,"✓ Yes",IF(C32&gt;='01_Personal_Settings'!$B$20*0.6,"Partial","No"))</f>
        <v>Partial</v>
      </c>
      <c r="F32" s="121" t="s">
        <v>1011</v>
      </c>
    </row>
    <row r="33" spans="1:12" s="117" customFormat="1" ht="18.5" x14ac:dyDescent="0.45">
      <c r="A33" s="119" t="s">
        <v>1012</v>
      </c>
      <c r="B33" s="120" t="s">
        <v>997</v>
      </c>
      <c r="C33" s="120">
        <v>20</v>
      </c>
      <c r="D33" s="120">
        <v>1.5</v>
      </c>
      <c r="E33" s="120" t="str">
        <f>IF(C33&gt;='01_Personal_Settings'!$B$20,"✓ Yes",IF(C33&gt;='01_Personal_Settings'!$B$20*0.6,"Partial","No"))</f>
        <v>Partial</v>
      </c>
      <c r="F33" s="121" t="s">
        <v>1013</v>
      </c>
    </row>
    <row r="34" spans="1:12" s="117" customFormat="1" ht="18.5" x14ac:dyDescent="0.45">
      <c r="A34" s="119" t="s">
        <v>1014</v>
      </c>
      <c r="B34" s="120" t="s">
        <v>1015</v>
      </c>
      <c r="C34" s="120">
        <v>25</v>
      </c>
      <c r="D34" s="120">
        <v>2.7</v>
      </c>
      <c r="E34" s="120" t="str">
        <f>IF(C34&gt;='01_Personal_Settings'!$B$20,"✓ Yes",IF(C34&gt;='01_Personal_Settings'!$B$20*0.6,"Partial","No"))</f>
        <v>✓ Yes</v>
      </c>
      <c r="F34" s="121" t="s">
        <v>1016</v>
      </c>
    </row>
    <row r="35" spans="1:12" s="117" customFormat="1" ht="18.5" x14ac:dyDescent="0.45">
      <c r="A35" s="119" t="s">
        <v>1017</v>
      </c>
      <c r="B35" s="120" t="s">
        <v>1018</v>
      </c>
      <c r="C35" s="120">
        <v>30</v>
      </c>
      <c r="D35" s="120">
        <v>2.4</v>
      </c>
      <c r="E35" s="120" t="str">
        <f>IF(C35&gt;='01_Personal_Settings'!$B$20,"✓ Yes",IF(C35&gt;='01_Personal_Settings'!$B$20*0.6,"Partial","No"))</f>
        <v>✓ Yes</v>
      </c>
      <c r="F35" s="121" t="s">
        <v>1019</v>
      </c>
    </row>
    <row r="36" spans="1:12" s="117" customFormat="1" ht="18.5" x14ac:dyDescent="0.45">
      <c r="A36" s="119" t="s">
        <v>1020</v>
      </c>
      <c r="B36" s="120" t="s">
        <v>1021</v>
      </c>
      <c r="C36" s="120">
        <v>6</v>
      </c>
      <c r="D36" s="120">
        <v>0.4</v>
      </c>
      <c r="E36" s="120" t="str">
        <f>IF(C36&gt;='01_Personal_Settings'!$B$20,"✓ Yes",IF(C36&gt;='01_Personal_Settings'!$B$20*0.6,"Partial","No"))</f>
        <v>No</v>
      </c>
      <c r="F36" s="121" t="s">
        <v>1022</v>
      </c>
    </row>
    <row r="39" spans="1:12" s="117" customFormat="1" ht="18.5" x14ac:dyDescent="0.45">
      <c r="A39" s="122" t="s">
        <v>1023</v>
      </c>
      <c r="B39" s="79"/>
      <c r="C39" s="79"/>
      <c r="D39" s="79"/>
      <c r="E39" s="79"/>
      <c r="F39" s="79"/>
      <c r="G39" s="79"/>
      <c r="H39" s="79"/>
      <c r="I39" s="79"/>
    </row>
    <row r="40" spans="1:12" s="117" customFormat="1" ht="26.65" customHeight="1" x14ac:dyDescent="0.45">
      <c r="A40" s="123" t="s">
        <v>1024</v>
      </c>
      <c r="B40" s="79"/>
      <c r="C40" s="79"/>
      <c r="D40" s="79"/>
      <c r="E40" s="79"/>
      <c r="F40" s="79"/>
      <c r="G40" s="79"/>
      <c r="H40" s="79"/>
      <c r="I40" s="79"/>
    </row>
    <row r="41" spans="1:12" s="117" customFormat="1" ht="18.5" x14ac:dyDescent="0.45"/>
    <row r="42" spans="1:12" s="117" customFormat="1" ht="18.5" x14ac:dyDescent="0.45">
      <c r="A42" s="124" t="s">
        <v>1025</v>
      </c>
      <c r="B42" s="124"/>
      <c r="C42" s="124"/>
      <c r="D42" s="124"/>
      <c r="E42" s="124"/>
      <c r="F42" s="124"/>
      <c r="G42" s="124"/>
      <c r="H42" s="124"/>
      <c r="I42" s="125"/>
      <c r="J42" s="125"/>
      <c r="K42" s="125"/>
      <c r="L42" s="125"/>
    </row>
    <row r="43" spans="1:12" s="117" customFormat="1" ht="18.5" x14ac:dyDescent="0.45">
      <c r="A43" s="124" t="s">
        <v>1026</v>
      </c>
      <c r="B43" s="124" t="s">
        <v>1027</v>
      </c>
      <c r="C43" s="124" t="s">
        <v>1028</v>
      </c>
      <c r="D43" s="124" t="s">
        <v>119</v>
      </c>
      <c r="E43" s="124" t="s">
        <v>198</v>
      </c>
      <c r="F43" s="124" t="s">
        <v>1029</v>
      </c>
      <c r="G43" s="124" t="s">
        <v>1030</v>
      </c>
      <c r="H43" s="124" t="s">
        <v>122</v>
      </c>
      <c r="I43" s="125"/>
      <c r="J43" s="125"/>
      <c r="K43" s="125"/>
      <c r="L43" s="125"/>
    </row>
    <row r="44" spans="1:12" s="117" customFormat="1" ht="37" x14ac:dyDescent="0.45">
      <c r="A44" s="125" t="s">
        <v>1031</v>
      </c>
      <c r="B44" s="125" t="s">
        <v>1032</v>
      </c>
      <c r="C44" s="125" t="s">
        <v>1033</v>
      </c>
      <c r="D44" s="125" t="s">
        <v>1034</v>
      </c>
      <c r="E44" s="125" t="s">
        <v>1035</v>
      </c>
      <c r="F44" s="125" t="s">
        <v>1036</v>
      </c>
      <c r="G44" s="125" t="s">
        <v>1037</v>
      </c>
      <c r="H44" s="125" t="s">
        <v>162</v>
      </c>
      <c r="I44" s="125"/>
      <c r="J44" s="125"/>
      <c r="K44" s="125"/>
      <c r="L44" s="125"/>
    </row>
    <row r="45" spans="1:12" s="117" customFormat="1" ht="37" x14ac:dyDescent="0.45">
      <c r="A45" s="125" t="s">
        <v>1038</v>
      </c>
      <c r="B45" s="125" t="s">
        <v>1039</v>
      </c>
      <c r="C45" s="125" t="s">
        <v>1040</v>
      </c>
      <c r="D45" s="125" t="s">
        <v>1041</v>
      </c>
      <c r="E45" s="125" t="s">
        <v>1042</v>
      </c>
      <c r="F45" s="125" t="s">
        <v>1043</v>
      </c>
      <c r="G45" s="125" t="s">
        <v>1044</v>
      </c>
      <c r="H45" s="125" t="s">
        <v>162</v>
      </c>
      <c r="I45" s="125"/>
      <c r="J45" s="125"/>
      <c r="K45" s="125"/>
      <c r="L45" s="125"/>
    </row>
    <row r="46" spans="1:12" s="117" customFormat="1" ht="37" x14ac:dyDescent="0.45">
      <c r="A46" s="125" t="s">
        <v>1045</v>
      </c>
      <c r="B46" s="125" t="s">
        <v>1046</v>
      </c>
      <c r="C46" s="125" t="s">
        <v>1047</v>
      </c>
      <c r="D46" s="125" t="s">
        <v>1048</v>
      </c>
      <c r="E46" s="125" t="s">
        <v>1049</v>
      </c>
      <c r="F46" s="125" t="s">
        <v>1050</v>
      </c>
      <c r="G46" s="125" t="s">
        <v>1051</v>
      </c>
      <c r="H46" s="125" t="s">
        <v>168</v>
      </c>
      <c r="I46" s="125"/>
      <c r="J46" s="125"/>
      <c r="K46" s="125"/>
      <c r="L46" s="125"/>
    </row>
    <row r="47" spans="1:12" s="117" customFormat="1" ht="37" x14ac:dyDescent="0.45">
      <c r="A47" s="125" t="s">
        <v>1052</v>
      </c>
      <c r="B47" s="125" t="s">
        <v>1053</v>
      </c>
      <c r="C47" s="125" t="s">
        <v>1054</v>
      </c>
      <c r="D47" s="125" t="s">
        <v>1055</v>
      </c>
      <c r="E47" s="125" t="s">
        <v>1056</v>
      </c>
      <c r="F47" s="125" t="s">
        <v>128</v>
      </c>
      <c r="G47" s="125" t="s">
        <v>1057</v>
      </c>
      <c r="H47" s="125" t="s">
        <v>168</v>
      </c>
      <c r="I47" s="125"/>
      <c r="J47" s="125"/>
      <c r="K47" s="125"/>
      <c r="L47" s="125"/>
    </row>
    <row r="48" spans="1:12" x14ac:dyDescent="0.3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spans="1:12" x14ac:dyDescent="0.3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spans="1:12" x14ac:dyDescent="0.3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spans="1:12" x14ac:dyDescent="0.3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spans="1:12" x14ac:dyDescent="0.3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spans="1:12" x14ac:dyDescent="0.3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spans="1:12" x14ac:dyDescent="0.3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2" x14ac:dyDescent="0.3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2" x14ac:dyDescent="0.3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spans="1:12" x14ac:dyDescent="0.3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2" x14ac:dyDescent="0.3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2" x14ac:dyDescent="0.3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spans="1:12" x14ac:dyDescent="0.3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2" x14ac:dyDescent="0.3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2" x14ac:dyDescent="0.3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</row>
  </sheetData>
  <mergeCells count="6">
    <mergeCell ref="A4:I4"/>
    <mergeCell ref="A25:I25"/>
    <mergeCell ref="A40:I40"/>
    <mergeCell ref="A17:I17"/>
    <mergeCell ref="A6:I6"/>
    <mergeCell ref="A39:I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3"/>
  <sheetViews>
    <sheetView workbookViewId="0"/>
  </sheetViews>
  <sheetFormatPr defaultRowHeight="14.5" x14ac:dyDescent="0.35"/>
  <cols>
    <col min="1" max="1" width="26" customWidth="1"/>
    <col min="2" max="2" width="10" customWidth="1"/>
    <col min="3" max="4" width="22" customWidth="1"/>
    <col min="5" max="5" width="30" customWidth="1"/>
    <col min="6" max="7" width="22" customWidth="1"/>
    <col min="8" max="8" width="26" customWidth="1"/>
    <col min="9" max="10" width="28" customWidth="1"/>
    <col min="11" max="12" width="20" customWidth="1"/>
    <col min="13" max="13" width="22" customWidth="1"/>
  </cols>
  <sheetData>
    <row r="1" spans="1:13" ht="21" x14ac:dyDescent="0.5">
      <c r="A1" s="1" t="s">
        <v>1058</v>
      </c>
      <c r="K1" s="47" t="s">
        <v>1</v>
      </c>
      <c r="L1" s="48" t="s">
        <v>2</v>
      </c>
    </row>
    <row r="2" spans="1:13" x14ac:dyDescent="0.35">
      <c r="A2" s="2" t="s">
        <v>1059</v>
      </c>
    </row>
    <row r="4" spans="1:13" x14ac:dyDescent="0.35">
      <c r="A4" s="58" t="s">
        <v>1060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3" x14ac:dyDescent="0.35">
      <c r="A5" s="58" t="s">
        <v>1061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</row>
    <row r="6" spans="1:13" x14ac:dyDescent="0.35">
      <c r="A6" s="58" t="s">
        <v>1062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</row>
    <row r="8" spans="1:13" x14ac:dyDescent="0.35">
      <c r="A8" s="6" t="s">
        <v>1063</v>
      </c>
      <c r="B8" s="6" t="s">
        <v>1064</v>
      </c>
      <c r="C8" s="6" t="s">
        <v>734</v>
      </c>
      <c r="D8" s="6" t="s">
        <v>1065</v>
      </c>
      <c r="E8" s="6" t="s">
        <v>905</v>
      </c>
      <c r="F8" s="6" t="s">
        <v>1066</v>
      </c>
      <c r="G8" s="6" t="s">
        <v>1067</v>
      </c>
      <c r="H8" s="6" t="s">
        <v>1068</v>
      </c>
      <c r="I8" s="6" t="s">
        <v>1069</v>
      </c>
      <c r="J8" s="6" t="s">
        <v>1070</v>
      </c>
      <c r="K8" s="6" t="s">
        <v>1071</v>
      </c>
      <c r="L8" s="6" t="s">
        <v>1072</v>
      </c>
      <c r="M8" s="6" t="s">
        <v>122</v>
      </c>
    </row>
    <row r="9" spans="1:13" ht="50" customHeight="1" x14ac:dyDescent="0.35">
      <c r="A9" s="8" t="s">
        <v>1073</v>
      </c>
      <c r="B9" s="20" t="s">
        <v>1074</v>
      </c>
      <c r="C9" s="21" t="s">
        <v>1075</v>
      </c>
      <c r="D9" s="8" t="s">
        <v>1076</v>
      </c>
      <c r="E9" s="8" t="s">
        <v>1077</v>
      </c>
      <c r="F9" s="8" t="s">
        <v>1078</v>
      </c>
      <c r="G9" s="8" t="s">
        <v>1079</v>
      </c>
      <c r="H9" s="8" t="s">
        <v>1080</v>
      </c>
      <c r="I9" s="8" t="s">
        <v>1081</v>
      </c>
      <c r="J9" s="8" t="s">
        <v>1082</v>
      </c>
      <c r="K9" s="8" t="s">
        <v>1083</v>
      </c>
      <c r="L9" s="21" t="s">
        <v>1084</v>
      </c>
      <c r="M9" s="8" t="s">
        <v>1085</v>
      </c>
    </row>
    <row r="10" spans="1:13" ht="50" customHeight="1" x14ac:dyDescent="0.35">
      <c r="A10" s="8" t="s">
        <v>1086</v>
      </c>
      <c r="B10" s="20" t="s">
        <v>1074</v>
      </c>
      <c r="C10" s="21" t="s">
        <v>1075</v>
      </c>
      <c r="D10" s="8" t="s">
        <v>1087</v>
      </c>
      <c r="E10" s="8" t="s">
        <v>1088</v>
      </c>
      <c r="F10" s="8" t="s">
        <v>1089</v>
      </c>
      <c r="G10" s="8" t="s">
        <v>1090</v>
      </c>
      <c r="H10" s="8" t="s">
        <v>1091</v>
      </c>
      <c r="I10" s="8" t="s">
        <v>1092</v>
      </c>
      <c r="J10" s="8" t="s">
        <v>1093</v>
      </c>
      <c r="K10" s="8" t="s">
        <v>1094</v>
      </c>
      <c r="L10" s="21" t="s">
        <v>1084</v>
      </c>
      <c r="M10" s="8" t="s">
        <v>1095</v>
      </c>
    </row>
    <row r="11" spans="1:13" ht="50" customHeight="1" x14ac:dyDescent="0.35">
      <c r="A11" s="8" t="s">
        <v>1096</v>
      </c>
      <c r="B11" s="20" t="s">
        <v>1074</v>
      </c>
      <c r="C11" s="21" t="s">
        <v>1075</v>
      </c>
      <c r="D11" s="8" t="s">
        <v>1097</v>
      </c>
      <c r="E11" s="8" t="s">
        <v>1098</v>
      </c>
      <c r="F11" s="8" t="s">
        <v>1099</v>
      </c>
      <c r="G11" s="8" t="s">
        <v>1100</v>
      </c>
      <c r="H11" s="8" t="s">
        <v>1101</v>
      </c>
      <c r="I11" s="8" t="s">
        <v>1102</v>
      </c>
      <c r="J11" s="8" t="s">
        <v>1103</v>
      </c>
      <c r="K11" s="8" t="s">
        <v>1104</v>
      </c>
      <c r="L11" s="21" t="s">
        <v>1084</v>
      </c>
      <c r="M11" s="8" t="s">
        <v>1105</v>
      </c>
    </row>
    <row r="12" spans="1:13" ht="50" customHeight="1" x14ac:dyDescent="0.35">
      <c r="A12" s="8" t="s">
        <v>1106</v>
      </c>
      <c r="B12" s="20" t="s">
        <v>1074</v>
      </c>
      <c r="C12" s="21" t="s">
        <v>1075</v>
      </c>
      <c r="D12" s="8" t="s">
        <v>1107</v>
      </c>
      <c r="E12" s="8" t="s">
        <v>1108</v>
      </c>
      <c r="F12" s="8" t="s">
        <v>1109</v>
      </c>
      <c r="G12" s="8" t="s">
        <v>1110</v>
      </c>
      <c r="H12" s="8" t="s">
        <v>1111</v>
      </c>
      <c r="I12" s="8" t="s">
        <v>1112</v>
      </c>
      <c r="J12" s="8" t="s">
        <v>1113</v>
      </c>
      <c r="K12" s="8" t="s">
        <v>1114</v>
      </c>
      <c r="L12" s="13" t="s">
        <v>1115</v>
      </c>
      <c r="M12" s="8" t="s">
        <v>1116</v>
      </c>
    </row>
    <row r="13" spans="1:13" ht="50" customHeight="1" x14ac:dyDescent="0.35">
      <c r="A13" s="8" t="s">
        <v>1117</v>
      </c>
      <c r="B13" s="22" t="s">
        <v>1118</v>
      </c>
      <c r="C13" s="13" t="s">
        <v>1119</v>
      </c>
      <c r="D13" s="8" t="s">
        <v>1120</v>
      </c>
      <c r="E13" s="8" t="s">
        <v>1121</v>
      </c>
      <c r="F13" s="8" t="s">
        <v>1122</v>
      </c>
      <c r="G13" s="8" t="s">
        <v>1123</v>
      </c>
      <c r="H13" s="8" t="s">
        <v>1124</v>
      </c>
      <c r="I13" s="8" t="s">
        <v>1125</v>
      </c>
      <c r="J13" s="8" t="s">
        <v>1126</v>
      </c>
      <c r="K13" s="8" t="s">
        <v>1127</v>
      </c>
      <c r="L13" s="21" t="s">
        <v>1084</v>
      </c>
      <c r="M13" s="8" t="s">
        <v>1128</v>
      </c>
    </row>
    <row r="14" spans="1:13" ht="50" customHeight="1" x14ac:dyDescent="0.35">
      <c r="A14" s="8" t="s">
        <v>1129</v>
      </c>
      <c r="B14" s="22" t="s">
        <v>1118</v>
      </c>
      <c r="C14" s="13" t="s">
        <v>1119</v>
      </c>
      <c r="D14" s="8" t="s">
        <v>1130</v>
      </c>
      <c r="E14" s="8" t="s">
        <v>1131</v>
      </c>
      <c r="F14" s="8" t="s">
        <v>1132</v>
      </c>
      <c r="G14" s="8" t="s">
        <v>1133</v>
      </c>
      <c r="H14" s="8" t="s">
        <v>1134</v>
      </c>
      <c r="I14" s="8" t="s">
        <v>1135</v>
      </c>
      <c r="J14" s="8" t="s">
        <v>1136</v>
      </c>
      <c r="K14" s="8" t="s">
        <v>1137</v>
      </c>
      <c r="L14" s="21" t="s">
        <v>1138</v>
      </c>
      <c r="M14" s="8" t="s">
        <v>1139</v>
      </c>
    </row>
    <row r="15" spans="1:13" ht="50" customHeight="1" x14ac:dyDescent="0.35">
      <c r="A15" s="8" t="s">
        <v>1140</v>
      </c>
      <c r="B15" s="22" t="s">
        <v>1141</v>
      </c>
      <c r="C15" s="21" t="s">
        <v>1075</v>
      </c>
      <c r="D15" s="8" t="s">
        <v>1142</v>
      </c>
      <c r="E15" s="8" t="s">
        <v>1143</v>
      </c>
      <c r="F15" s="8" t="s">
        <v>1144</v>
      </c>
      <c r="G15" s="8" t="s">
        <v>1145</v>
      </c>
      <c r="H15" s="8" t="s">
        <v>1146</v>
      </c>
      <c r="I15" s="8" t="s">
        <v>1147</v>
      </c>
      <c r="J15" s="8" t="s">
        <v>1148</v>
      </c>
      <c r="K15" s="8" t="s">
        <v>1149</v>
      </c>
      <c r="L15" s="13" t="s">
        <v>1115</v>
      </c>
      <c r="M15" s="8" t="s">
        <v>1150</v>
      </c>
    </row>
    <row r="16" spans="1:13" ht="50" customHeight="1" x14ac:dyDescent="0.35">
      <c r="A16" s="8" t="s">
        <v>1151</v>
      </c>
      <c r="B16" s="22" t="s">
        <v>1118</v>
      </c>
      <c r="C16" s="13" t="s">
        <v>1119</v>
      </c>
      <c r="D16" s="8" t="s">
        <v>1152</v>
      </c>
      <c r="E16" s="8" t="s">
        <v>1153</v>
      </c>
      <c r="F16" s="8" t="s">
        <v>1122</v>
      </c>
      <c r="G16" s="8" t="s">
        <v>1154</v>
      </c>
      <c r="H16" s="8" t="s">
        <v>1155</v>
      </c>
      <c r="I16" s="8" t="s">
        <v>1156</v>
      </c>
      <c r="J16" s="8" t="s">
        <v>1157</v>
      </c>
      <c r="K16" s="8" t="s">
        <v>1158</v>
      </c>
      <c r="L16" s="13" t="s">
        <v>1159</v>
      </c>
      <c r="M16" s="8" t="s">
        <v>1160</v>
      </c>
    </row>
    <row r="17" spans="1:13" ht="50" customHeight="1" x14ac:dyDescent="0.35">
      <c r="A17" s="8" t="s">
        <v>1161</v>
      </c>
      <c r="B17" s="22" t="s">
        <v>1141</v>
      </c>
      <c r="C17" s="13" t="s">
        <v>1162</v>
      </c>
      <c r="D17" s="8" t="s">
        <v>1163</v>
      </c>
      <c r="E17" s="8" t="s">
        <v>1164</v>
      </c>
      <c r="F17" s="8" t="s">
        <v>1165</v>
      </c>
      <c r="G17" s="8" t="s">
        <v>1166</v>
      </c>
      <c r="H17" s="8" t="s">
        <v>1167</v>
      </c>
      <c r="I17" s="8" t="s">
        <v>1168</v>
      </c>
      <c r="J17" s="8" t="s">
        <v>1169</v>
      </c>
      <c r="K17" s="8" t="s">
        <v>1170</v>
      </c>
      <c r="L17" s="13" t="s">
        <v>1115</v>
      </c>
      <c r="M17" s="8" t="s">
        <v>1171</v>
      </c>
    </row>
    <row r="18" spans="1:13" ht="50" customHeight="1" x14ac:dyDescent="0.35">
      <c r="A18" s="8" t="s">
        <v>1172</v>
      </c>
      <c r="B18" s="20" t="s">
        <v>1074</v>
      </c>
      <c r="C18" s="21" t="s">
        <v>1173</v>
      </c>
      <c r="D18" s="8" t="s">
        <v>1174</v>
      </c>
      <c r="E18" s="8" t="s">
        <v>1175</v>
      </c>
      <c r="F18" s="8" t="s">
        <v>1176</v>
      </c>
      <c r="G18" s="8" t="s">
        <v>1177</v>
      </c>
      <c r="H18" s="8" t="s">
        <v>1178</v>
      </c>
      <c r="I18" s="8" t="s">
        <v>1179</v>
      </c>
      <c r="J18" s="8" t="s">
        <v>1136</v>
      </c>
      <c r="K18" s="8" t="s">
        <v>1180</v>
      </c>
      <c r="L18" s="21" t="s">
        <v>1084</v>
      </c>
      <c r="M18" s="8" t="s">
        <v>1181</v>
      </c>
    </row>
    <row r="19" spans="1:13" ht="50" customHeight="1" x14ac:dyDescent="0.35">
      <c r="A19" s="8" t="s">
        <v>1182</v>
      </c>
      <c r="B19" s="23" t="s">
        <v>1183</v>
      </c>
      <c r="C19" s="24" t="s">
        <v>1030</v>
      </c>
      <c r="D19" s="8" t="s">
        <v>1184</v>
      </c>
      <c r="E19" s="8" t="s">
        <v>1185</v>
      </c>
      <c r="F19" s="8" t="s">
        <v>1186</v>
      </c>
      <c r="G19" s="8" t="s">
        <v>1187</v>
      </c>
      <c r="H19" s="8" t="s">
        <v>1188</v>
      </c>
      <c r="I19" s="8" t="s">
        <v>1189</v>
      </c>
      <c r="J19" s="8" t="s">
        <v>1190</v>
      </c>
      <c r="K19" s="8" t="s">
        <v>1191</v>
      </c>
      <c r="L19" s="13" t="s">
        <v>1115</v>
      </c>
      <c r="M19" s="8" t="s">
        <v>1192</v>
      </c>
    </row>
    <row r="20" spans="1:13" ht="50" customHeight="1" x14ac:dyDescent="0.35">
      <c r="A20" s="8" t="s">
        <v>1193</v>
      </c>
      <c r="B20" s="23" t="s">
        <v>1183</v>
      </c>
      <c r="C20" s="24" t="s">
        <v>1030</v>
      </c>
      <c r="D20" s="8" t="s">
        <v>1194</v>
      </c>
      <c r="E20" s="8" t="s">
        <v>1195</v>
      </c>
      <c r="F20" s="8" t="s">
        <v>1186</v>
      </c>
      <c r="G20" s="8" t="s">
        <v>1196</v>
      </c>
      <c r="H20" s="8" t="s">
        <v>1197</v>
      </c>
      <c r="I20" s="8" t="s">
        <v>1198</v>
      </c>
      <c r="J20" s="8" t="s">
        <v>1199</v>
      </c>
      <c r="K20" s="8" t="s">
        <v>1200</v>
      </c>
      <c r="L20" s="13" t="s">
        <v>1115</v>
      </c>
      <c r="M20" s="8" t="s">
        <v>1201</v>
      </c>
    </row>
    <row r="21" spans="1:13" ht="50" customHeight="1" x14ac:dyDescent="0.35">
      <c r="A21" s="8" t="s">
        <v>1202</v>
      </c>
      <c r="B21" s="23" t="s">
        <v>1183</v>
      </c>
      <c r="C21" s="13" t="s">
        <v>1162</v>
      </c>
      <c r="D21" s="8" t="s">
        <v>1203</v>
      </c>
      <c r="E21" s="8" t="s">
        <v>1204</v>
      </c>
      <c r="F21" s="8" t="s">
        <v>1205</v>
      </c>
      <c r="G21" s="8" t="s">
        <v>1206</v>
      </c>
      <c r="H21" s="8" t="s">
        <v>1207</v>
      </c>
      <c r="I21" s="8" t="s">
        <v>1208</v>
      </c>
      <c r="J21" s="8" t="s">
        <v>1136</v>
      </c>
      <c r="K21" s="8" t="s">
        <v>1209</v>
      </c>
      <c r="L21" s="13" t="s">
        <v>1115</v>
      </c>
      <c r="M21" s="8" t="s">
        <v>1210</v>
      </c>
    </row>
    <row r="22" spans="1:13" ht="50" customHeight="1" x14ac:dyDescent="0.35">
      <c r="A22" s="8" t="s">
        <v>1211</v>
      </c>
      <c r="B22" s="22" t="s">
        <v>1118</v>
      </c>
      <c r="C22" s="25" t="s">
        <v>1212</v>
      </c>
      <c r="D22" s="8" t="s">
        <v>1213</v>
      </c>
      <c r="E22" s="8" t="s">
        <v>1214</v>
      </c>
      <c r="F22" s="8" t="s">
        <v>1215</v>
      </c>
      <c r="G22" s="8" t="s">
        <v>1216</v>
      </c>
      <c r="H22" s="8" t="s">
        <v>1217</v>
      </c>
      <c r="I22" s="8" t="s">
        <v>1218</v>
      </c>
      <c r="J22" s="8" t="s">
        <v>1219</v>
      </c>
      <c r="K22" s="8" t="s">
        <v>1220</v>
      </c>
      <c r="L22" s="8" t="s">
        <v>1221</v>
      </c>
      <c r="M22" s="8" t="s">
        <v>1222</v>
      </c>
    </row>
    <row r="23" spans="1:13" ht="50" customHeight="1" x14ac:dyDescent="0.35">
      <c r="A23" s="8" t="s">
        <v>1223</v>
      </c>
      <c r="B23" s="22" t="s">
        <v>1118</v>
      </c>
      <c r="C23" s="25" t="s">
        <v>1212</v>
      </c>
      <c r="D23" s="8" t="s">
        <v>1214</v>
      </c>
      <c r="E23" s="8" t="s">
        <v>1214</v>
      </c>
      <c r="F23" s="8" t="s">
        <v>1215</v>
      </c>
      <c r="G23" s="8" t="s">
        <v>1224</v>
      </c>
      <c r="H23" s="8" t="s">
        <v>1225</v>
      </c>
      <c r="I23" s="8" t="s">
        <v>1226</v>
      </c>
      <c r="J23" s="8" t="s">
        <v>1227</v>
      </c>
      <c r="K23" s="8" t="s">
        <v>1228</v>
      </c>
      <c r="L23" s="25" t="s">
        <v>1229</v>
      </c>
      <c r="M23" s="8" t="s">
        <v>1230</v>
      </c>
    </row>
    <row r="24" spans="1:13" ht="50" customHeight="1" x14ac:dyDescent="0.35">
      <c r="A24" s="8" t="s">
        <v>1231</v>
      </c>
      <c r="B24" s="23" t="s">
        <v>1183</v>
      </c>
      <c r="C24" s="25" t="s">
        <v>1232</v>
      </c>
      <c r="D24" s="8" t="s">
        <v>1233</v>
      </c>
      <c r="E24" s="8" t="s">
        <v>1234</v>
      </c>
      <c r="F24" s="8" t="s">
        <v>1132</v>
      </c>
      <c r="G24" s="8" t="s">
        <v>1235</v>
      </c>
      <c r="H24" s="8" t="s">
        <v>1236</v>
      </c>
      <c r="I24" s="8" t="s">
        <v>1237</v>
      </c>
      <c r="J24" s="8" t="s">
        <v>1238</v>
      </c>
      <c r="K24" s="8" t="s">
        <v>1239</v>
      </c>
      <c r="L24" s="25" t="s">
        <v>1240</v>
      </c>
      <c r="M24" s="8" t="s">
        <v>1241</v>
      </c>
    </row>
    <row r="25" spans="1:13" ht="50" customHeight="1" x14ac:dyDescent="0.35">
      <c r="A25" s="8" t="s">
        <v>1242</v>
      </c>
      <c r="B25" s="23" t="s">
        <v>1183</v>
      </c>
      <c r="C25" s="25" t="s">
        <v>1232</v>
      </c>
      <c r="D25" s="8" t="s">
        <v>1233</v>
      </c>
      <c r="E25" s="8" t="s">
        <v>1243</v>
      </c>
      <c r="F25" s="8" t="s">
        <v>1244</v>
      </c>
      <c r="G25" s="8" t="s">
        <v>1245</v>
      </c>
      <c r="H25" s="8" t="s">
        <v>1246</v>
      </c>
      <c r="I25" s="8" t="s">
        <v>1237</v>
      </c>
      <c r="J25" s="8" t="s">
        <v>1247</v>
      </c>
      <c r="K25" s="8" t="s">
        <v>1248</v>
      </c>
      <c r="L25" s="25" t="s">
        <v>1240</v>
      </c>
      <c r="M25" s="8" t="s">
        <v>1249</v>
      </c>
    </row>
    <row r="26" spans="1:13" ht="50" customHeight="1" x14ac:dyDescent="0.35">
      <c r="A26" s="8" t="s">
        <v>1250</v>
      </c>
      <c r="B26" s="26" t="s">
        <v>1251</v>
      </c>
      <c r="C26" s="25" t="s">
        <v>1252</v>
      </c>
      <c r="D26" s="8" t="s">
        <v>1253</v>
      </c>
      <c r="E26" s="8" t="s">
        <v>1254</v>
      </c>
      <c r="F26" s="8" t="s">
        <v>1254</v>
      </c>
      <c r="G26" s="8" t="s">
        <v>1255</v>
      </c>
      <c r="H26" s="8" t="s">
        <v>1256</v>
      </c>
      <c r="I26" s="8" t="s">
        <v>1257</v>
      </c>
      <c r="J26" s="8" t="s">
        <v>1258</v>
      </c>
      <c r="K26" s="8" t="s">
        <v>1259</v>
      </c>
      <c r="L26" s="26" t="s">
        <v>1260</v>
      </c>
      <c r="M26" s="8" t="s">
        <v>1261</v>
      </c>
    </row>
    <row r="27" spans="1:13" ht="50" customHeight="1" x14ac:dyDescent="0.35">
      <c r="A27" s="8" t="s">
        <v>1262</v>
      </c>
      <c r="B27" s="26" t="s">
        <v>1251</v>
      </c>
      <c r="C27" s="25" t="s">
        <v>1252</v>
      </c>
      <c r="D27" s="8" t="s">
        <v>1263</v>
      </c>
      <c r="E27" s="8" t="s">
        <v>1254</v>
      </c>
      <c r="F27" s="8" t="s">
        <v>1254</v>
      </c>
      <c r="G27" s="8" t="s">
        <v>1264</v>
      </c>
      <c r="H27" s="8" t="s">
        <v>1265</v>
      </c>
      <c r="I27" s="8" t="s">
        <v>1266</v>
      </c>
      <c r="J27" s="8" t="s">
        <v>1267</v>
      </c>
      <c r="K27" s="8" t="s">
        <v>1268</v>
      </c>
      <c r="L27" s="25" t="s">
        <v>1269</v>
      </c>
      <c r="M27" s="8" t="s">
        <v>1270</v>
      </c>
    </row>
    <row r="30" spans="1:13" ht="15.5" x14ac:dyDescent="0.35">
      <c r="A30" s="52" t="s">
        <v>1271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</row>
    <row r="31" spans="1:13" x14ac:dyDescent="0.35">
      <c r="A31" s="6" t="s">
        <v>1272</v>
      </c>
      <c r="B31" s="6" t="s">
        <v>1273</v>
      </c>
      <c r="C31" s="6" t="s">
        <v>4</v>
      </c>
      <c r="D31" s="6" t="s">
        <v>4</v>
      </c>
      <c r="E31" s="6" t="s">
        <v>4</v>
      </c>
      <c r="F31" s="6" t="s">
        <v>4</v>
      </c>
      <c r="G31" s="6" t="s">
        <v>4</v>
      </c>
      <c r="H31" s="6" t="s">
        <v>4</v>
      </c>
      <c r="I31" s="6" t="s">
        <v>4</v>
      </c>
      <c r="J31" s="6" t="s">
        <v>4</v>
      </c>
      <c r="K31" s="6" t="s">
        <v>4</v>
      </c>
      <c r="L31" s="6" t="s">
        <v>4</v>
      </c>
      <c r="M31" s="6" t="s">
        <v>4</v>
      </c>
    </row>
    <row r="32" spans="1:13" x14ac:dyDescent="0.35">
      <c r="A32" s="15" t="s">
        <v>1274</v>
      </c>
      <c r="B32" s="59" t="s">
        <v>1275</v>
      </c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1"/>
    </row>
    <row r="33" spans="1:13" x14ac:dyDescent="0.35">
      <c r="A33" s="15" t="s">
        <v>1276</v>
      </c>
      <c r="B33" s="59" t="s">
        <v>1277</v>
      </c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1"/>
    </row>
    <row r="34" spans="1:13" x14ac:dyDescent="0.35">
      <c r="A34" s="15" t="s">
        <v>1278</v>
      </c>
      <c r="B34" s="59" t="s">
        <v>1279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</row>
    <row r="35" spans="1:13" x14ac:dyDescent="0.35">
      <c r="A35" s="15" t="s">
        <v>1280</v>
      </c>
      <c r="B35" s="59" t="s">
        <v>1281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1"/>
    </row>
    <row r="36" spans="1:13" x14ac:dyDescent="0.35">
      <c r="A36" s="15" t="s">
        <v>1282</v>
      </c>
      <c r="B36" s="59" t="s">
        <v>1283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1"/>
    </row>
    <row r="37" spans="1:13" x14ac:dyDescent="0.35">
      <c r="A37" s="15" t="s">
        <v>1284</v>
      </c>
      <c r="B37" s="59" t="s">
        <v>1285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</row>
    <row r="38" spans="1:13" x14ac:dyDescent="0.35">
      <c r="A38" s="15" t="s">
        <v>1286</v>
      </c>
      <c r="B38" s="59" t="s">
        <v>1287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x14ac:dyDescent="0.35">
      <c r="A39" s="15" t="s">
        <v>1288</v>
      </c>
      <c r="B39" s="59" t="s">
        <v>1289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1"/>
    </row>
    <row r="40" spans="1:13" x14ac:dyDescent="0.35">
      <c r="A40" s="15" t="s">
        <v>1290</v>
      </c>
      <c r="B40" s="59" t="s">
        <v>1291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1"/>
    </row>
    <row r="41" spans="1:13" x14ac:dyDescent="0.35">
      <c r="A41" s="15" t="s">
        <v>1292</v>
      </c>
      <c r="B41" s="59" t="s">
        <v>1293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1"/>
    </row>
    <row r="42" spans="1:13" x14ac:dyDescent="0.35">
      <c r="A42" s="15" t="s">
        <v>1294</v>
      </c>
      <c r="B42" s="59" t="s">
        <v>1295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1"/>
    </row>
    <row r="43" spans="1:13" x14ac:dyDescent="0.35">
      <c r="A43" s="15" t="s">
        <v>1296</v>
      </c>
      <c r="B43" s="59" t="s">
        <v>1297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1"/>
    </row>
    <row r="44" spans="1:13" x14ac:dyDescent="0.35">
      <c r="A44" s="15" t="s">
        <v>1298</v>
      </c>
      <c r="B44" s="59" t="s">
        <v>1299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1"/>
    </row>
    <row r="45" spans="1:13" x14ac:dyDescent="0.35">
      <c r="A45" s="15" t="s">
        <v>1300</v>
      </c>
      <c r="B45" s="59" t="s">
        <v>1301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1"/>
    </row>
    <row r="47" spans="1:13" ht="15.5" x14ac:dyDescent="0.35">
      <c r="A47" s="52" t="s">
        <v>1302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8" spans="1:13" x14ac:dyDescent="0.35">
      <c r="A48" s="59" t="s">
        <v>1303</v>
      </c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1"/>
    </row>
    <row r="49" spans="1:13" x14ac:dyDescent="0.35">
      <c r="A49" s="59" t="s">
        <v>1304</v>
      </c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1"/>
    </row>
    <row r="50" spans="1:13" x14ac:dyDescent="0.35">
      <c r="A50" s="59" t="s">
        <v>1305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1"/>
    </row>
    <row r="51" spans="1:13" x14ac:dyDescent="0.35">
      <c r="A51" s="59" t="s">
        <v>1306</v>
      </c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1"/>
    </row>
    <row r="52" spans="1:13" x14ac:dyDescent="0.35">
      <c r="A52" s="59" t="s">
        <v>1307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1"/>
    </row>
    <row r="53" spans="1:13" x14ac:dyDescent="0.35">
      <c r="A53" s="59" t="s">
        <v>1308</v>
      </c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1"/>
    </row>
  </sheetData>
  <mergeCells count="25">
    <mergeCell ref="A50:M50"/>
    <mergeCell ref="B43:M43"/>
    <mergeCell ref="A47:M47"/>
    <mergeCell ref="B45:M45"/>
    <mergeCell ref="B36:M36"/>
    <mergeCell ref="B32:M32"/>
    <mergeCell ref="B41:M41"/>
    <mergeCell ref="B35:M35"/>
    <mergeCell ref="B39:M39"/>
    <mergeCell ref="A5:M5"/>
    <mergeCell ref="B42:M42"/>
    <mergeCell ref="A4:M4"/>
    <mergeCell ref="A53:M53"/>
    <mergeCell ref="B44:M44"/>
    <mergeCell ref="A52:M52"/>
    <mergeCell ref="B38:M38"/>
    <mergeCell ref="B34:M34"/>
    <mergeCell ref="B37:M37"/>
    <mergeCell ref="A48:M48"/>
    <mergeCell ref="A30:M30"/>
    <mergeCell ref="B40:M40"/>
    <mergeCell ref="A49:M49"/>
    <mergeCell ref="A51:M51"/>
    <mergeCell ref="B33:M33"/>
    <mergeCell ref="A6:M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3"/>
  <sheetViews>
    <sheetView topLeftCell="A28" workbookViewId="0"/>
  </sheetViews>
  <sheetFormatPr defaultRowHeight="14.5" x14ac:dyDescent="0.35"/>
  <cols>
    <col min="1" max="1" width="14" customWidth="1"/>
    <col min="2" max="2" width="28" customWidth="1"/>
    <col min="3" max="3" width="22" customWidth="1"/>
    <col min="4" max="4" width="18" customWidth="1"/>
    <col min="5" max="5" width="12" customWidth="1"/>
    <col min="6" max="7" width="14" customWidth="1"/>
    <col min="8" max="8" width="18" customWidth="1"/>
    <col min="9" max="9" width="50" customWidth="1"/>
    <col min="10" max="10" width="22" customWidth="1"/>
    <col min="11" max="12" width="20" customWidth="1"/>
  </cols>
  <sheetData>
    <row r="1" spans="1:12" ht="21" x14ac:dyDescent="0.5">
      <c r="A1" s="1" t="s">
        <v>1309</v>
      </c>
      <c r="K1" s="47" t="s">
        <v>1</v>
      </c>
      <c r="L1" s="48" t="s">
        <v>2</v>
      </c>
    </row>
    <row r="2" spans="1:12" x14ac:dyDescent="0.35">
      <c r="A2" s="2" t="s">
        <v>1310</v>
      </c>
    </row>
    <row r="4" spans="1:12" x14ac:dyDescent="0.35">
      <c r="A4" s="27" t="s">
        <v>1311</v>
      </c>
    </row>
    <row r="6" spans="1:12" ht="29" x14ac:dyDescent="0.35">
      <c r="A6" s="6" t="s">
        <v>1312</v>
      </c>
      <c r="B6" s="6" t="s">
        <v>1313</v>
      </c>
      <c r="C6" s="6" t="s">
        <v>1314</v>
      </c>
      <c r="D6" s="6" t="s">
        <v>1315</v>
      </c>
      <c r="E6" s="6" t="s">
        <v>1316</v>
      </c>
      <c r="F6" s="6" t="s">
        <v>1317</v>
      </c>
      <c r="G6" s="6" t="s">
        <v>1318</v>
      </c>
      <c r="H6" s="6" t="s">
        <v>734</v>
      </c>
      <c r="I6" s="6" t="s">
        <v>243</v>
      </c>
      <c r="J6" s="6" t="s">
        <v>122</v>
      </c>
    </row>
    <row r="7" spans="1:12" ht="26" x14ac:dyDescent="0.35">
      <c r="A7" s="15" t="s">
        <v>1319</v>
      </c>
      <c r="B7" s="15" t="s">
        <v>1320</v>
      </c>
      <c r="C7" s="8" t="s">
        <v>1321</v>
      </c>
      <c r="D7" s="8" t="s">
        <v>1322</v>
      </c>
      <c r="E7" s="8" t="s">
        <v>1323</v>
      </c>
      <c r="F7" s="28" t="s">
        <v>4</v>
      </c>
      <c r="G7" s="28" t="s">
        <v>4</v>
      </c>
      <c r="H7" s="8" t="str">
        <f t="shared" ref="H7:H51" si="0">IF(F7="","Not logged","Discuss with MD")</f>
        <v>Not logged</v>
      </c>
      <c r="I7" s="8" t="s">
        <v>1324</v>
      </c>
      <c r="J7" s="18" t="s">
        <v>366</v>
      </c>
    </row>
    <row r="8" spans="1:12" x14ac:dyDescent="0.35">
      <c r="A8" s="15" t="s">
        <v>1319</v>
      </c>
      <c r="B8" s="15" t="s">
        <v>1325</v>
      </c>
      <c r="C8" s="8" t="s">
        <v>1326</v>
      </c>
      <c r="D8" s="8" t="s">
        <v>1327</v>
      </c>
      <c r="E8" s="8" t="s">
        <v>1328</v>
      </c>
      <c r="F8" s="28" t="s">
        <v>4</v>
      </c>
      <c r="G8" s="28" t="s">
        <v>4</v>
      </c>
      <c r="H8" s="8" t="str">
        <f t="shared" si="0"/>
        <v>Not logged</v>
      </c>
      <c r="I8" s="8" t="s">
        <v>1329</v>
      </c>
      <c r="J8" s="18" t="s">
        <v>366</v>
      </c>
    </row>
    <row r="9" spans="1:12" ht="26" x14ac:dyDescent="0.35">
      <c r="A9" s="15" t="s">
        <v>1319</v>
      </c>
      <c r="B9" s="15" t="s">
        <v>1330</v>
      </c>
      <c r="C9" s="8" t="s">
        <v>1331</v>
      </c>
      <c r="D9" s="8" t="s">
        <v>1332</v>
      </c>
      <c r="E9" s="8" t="s">
        <v>1333</v>
      </c>
      <c r="F9" s="28" t="s">
        <v>4</v>
      </c>
      <c r="G9" s="28" t="s">
        <v>4</v>
      </c>
      <c r="H9" s="8" t="str">
        <f t="shared" si="0"/>
        <v>Not logged</v>
      </c>
      <c r="I9" s="8" t="s">
        <v>1334</v>
      </c>
      <c r="J9" s="18" t="s">
        <v>1335</v>
      </c>
    </row>
    <row r="10" spans="1:12" x14ac:dyDescent="0.35">
      <c r="A10" s="15" t="s">
        <v>1319</v>
      </c>
      <c r="B10" s="15" t="s">
        <v>1336</v>
      </c>
      <c r="C10" s="8" t="s">
        <v>1337</v>
      </c>
      <c r="D10" s="8" t="s">
        <v>1338</v>
      </c>
      <c r="E10" s="8" t="s">
        <v>1251</v>
      </c>
      <c r="F10" s="28" t="s">
        <v>4</v>
      </c>
      <c r="G10" s="28" t="s">
        <v>4</v>
      </c>
      <c r="H10" s="8" t="str">
        <f t="shared" si="0"/>
        <v>Not logged</v>
      </c>
      <c r="I10" s="8" t="s">
        <v>1339</v>
      </c>
      <c r="J10" s="18" t="s">
        <v>1335</v>
      </c>
    </row>
    <row r="11" spans="1:12" x14ac:dyDescent="0.35">
      <c r="A11" s="15" t="s">
        <v>1319</v>
      </c>
      <c r="B11" s="15" t="s">
        <v>1340</v>
      </c>
      <c r="C11" s="8" t="s">
        <v>1341</v>
      </c>
      <c r="D11" s="8" t="s">
        <v>1342</v>
      </c>
      <c r="E11" s="8" t="s">
        <v>1328</v>
      </c>
      <c r="F11" s="28" t="s">
        <v>4</v>
      </c>
      <c r="G11" s="28" t="s">
        <v>4</v>
      </c>
      <c r="H11" s="8" t="str">
        <f t="shared" si="0"/>
        <v>Not logged</v>
      </c>
      <c r="I11" s="8" t="s">
        <v>1343</v>
      </c>
      <c r="J11" s="18" t="s">
        <v>366</v>
      </c>
    </row>
    <row r="12" spans="1:12" x14ac:dyDescent="0.35">
      <c r="A12" s="15" t="s">
        <v>1319</v>
      </c>
      <c r="B12" s="15" t="s">
        <v>1344</v>
      </c>
      <c r="C12" s="8" t="s">
        <v>1345</v>
      </c>
      <c r="D12" s="8" t="s">
        <v>1346</v>
      </c>
      <c r="E12" s="8" t="s">
        <v>1328</v>
      </c>
      <c r="F12" s="28" t="s">
        <v>4</v>
      </c>
      <c r="G12" s="28" t="s">
        <v>4</v>
      </c>
      <c r="H12" s="8" t="str">
        <f t="shared" si="0"/>
        <v>Not logged</v>
      </c>
      <c r="I12" s="8" t="s">
        <v>1347</v>
      </c>
      <c r="J12" s="18" t="s">
        <v>1348</v>
      </c>
    </row>
    <row r="13" spans="1:12" ht="26" x14ac:dyDescent="0.35">
      <c r="A13" s="15" t="s">
        <v>1349</v>
      </c>
      <c r="B13" s="15" t="s">
        <v>1350</v>
      </c>
      <c r="C13" s="8" t="s">
        <v>1351</v>
      </c>
      <c r="D13" s="8" t="s">
        <v>1352</v>
      </c>
      <c r="E13" s="8" t="s">
        <v>1328</v>
      </c>
      <c r="F13" s="28" t="s">
        <v>4</v>
      </c>
      <c r="G13" s="28" t="s">
        <v>4</v>
      </c>
      <c r="H13" s="8" t="str">
        <f t="shared" si="0"/>
        <v>Not logged</v>
      </c>
      <c r="I13" s="8" t="s">
        <v>1353</v>
      </c>
      <c r="J13" s="18" t="s">
        <v>1354</v>
      </c>
    </row>
    <row r="14" spans="1:12" x14ac:dyDescent="0.35">
      <c r="A14" s="15" t="s">
        <v>1349</v>
      </c>
      <c r="B14" s="15" t="s">
        <v>1355</v>
      </c>
      <c r="C14" s="8" t="s">
        <v>1356</v>
      </c>
      <c r="D14" s="8" t="s">
        <v>1327</v>
      </c>
      <c r="E14" s="8" t="s">
        <v>1328</v>
      </c>
      <c r="F14" s="28" t="s">
        <v>4</v>
      </c>
      <c r="G14" s="28" t="s">
        <v>4</v>
      </c>
      <c r="H14" s="8" t="str">
        <f t="shared" si="0"/>
        <v>Not logged</v>
      </c>
      <c r="I14" s="8" t="s">
        <v>1357</v>
      </c>
      <c r="J14" s="18" t="s">
        <v>366</v>
      </c>
    </row>
    <row r="15" spans="1:12" x14ac:dyDescent="0.35">
      <c r="A15" s="15" t="s">
        <v>1349</v>
      </c>
      <c r="B15" s="15" t="s">
        <v>1358</v>
      </c>
      <c r="C15" s="8" t="s">
        <v>1359</v>
      </c>
      <c r="D15" s="8" t="s">
        <v>1360</v>
      </c>
      <c r="E15" s="8" t="s">
        <v>1328</v>
      </c>
      <c r="F15" s="28" t="s">
        <v>4</v>
      </c>
      <c r="G15" s="28" t="s">
        <v>4</v>
      </c>
      <c r="H15" s="8" t="str">
        <f t="shared" si="0"/>
        <v>Not logged</v>
      </c>
      <c r="I15" s="8" t="s">
        <v>1361</v>
      </c>
      <c r="J15" s="18" t="s">
        <v>366</v>
      </c>
    </row>
    <row r="16" spans="1:12" ht="26" x14ac:dyDescent="0.35">
      <c r="A16" s="15" t="s">
        <v>1349</v>
      </c>
      <c r="B16" s="15" t="s">
        <v>1362</v>
      </c>
      <c r="C16" s="8" t="s">
        <v>1363</v>
      </c>
      <c r="D16" s="8" t="s">
        <v>1364</v>
      </c>
      <c r="E16" s="8" t="s">
        <v>1365</v>
      </c>
      <c r="F16" s="28" t="s">
        <v>4</v>
      </c>
      <c r="G16" s="28" t="s">
        <v>4</v>
      </c>
      <c r="H16" s="8" t="str">
        <f t="shared" si="0"/>
        <v>Not logged</v>
      </c>
      <c r="I16" s="8" t="s">
        <v>1366</v>
      </c>
      <c r="J16" s="18" t="s">
        <v>1367</v>
      </c>
    </row>
    <row r="17" spans="1:10" x14ac:dyDescent="0.35">
      <c r="A17" s="15" t="s">
        <v>1349</v>
      </c>
      <c r="B17" s="15" t="s">
        <v>1368</v>
      </c>
      <c r="C17" s="8" t="s">
        <v>1369</v>
      </c>
      <c r="D17" s="8" t="s">
        <v>1370</v>
      </c>
      <c r="E17" s="8" t="s">
        <v>1328</v>
      </c>
      <c r="F17" s="28" t="s">
        <v>4</v>
      </c>
      <c r="G17" s="28" t="s">
        <v>4</v>
      </c>
      <c r="H17" s="8" t="str">
        <f t="shared" si="0"/>
        <v>Not logged</v>
      </c>
      <c r="I17" s="8" t="s">
        <v>1371</v>
      </c>
      <c r="J17" s="18" t="s">
        <v>366</v>
      </c>
    </row>
    <row r="18" spans="1:10" x14ac:dyDescent="0.35">
      <c r="A18" s="15" t="s">
        <v>1349</v>
      </c>
      <c r="B18" s="15" t="s">
        <v>1372</v>
      </c>
      <c r="C18" s="8" t="s">
        <v>1373</v>
      </c>
      <c r="D18" s="8" t="s">
        <v>1370</v>
      </c>
      <c r="E18" s="8" t="s">
        <v>1374</v>
      </c>
      <c r="F18" s="28" t="s">
        <v>4</v>
      </c>
      <c r="G18" s="28" t="s">
        <v>4</v>
      </c>
      <c r="H18" s="8" t="str">
        <f t="shared" si="0"/>
        <v>Not logged</v>
      </c>
      <c r="I18" s="8" t="s">
        <v>1375</v>
      </c>
      <c r="J18" s="18" t="s">
        <v>1376</v>
      </c>
    </row>
    <row r="19" spans="1:10" x14ac:dyDescent="0.35">
      <c r="A19" s="15" t="s">
        <v>1349</v>
      </c>
      <c r="B19" s="15" t="s">
        <v>1377</v>
      </c>
      <c r="C19" s="8" t="s">
        <v>1341</v>
      </c>
      <c r="D19" s="8" t="s">
        <v>1341</v>
      </c>
      <c r="E19" s="8" t="s">
        <v>1374</v>
      </c>
      <c r="F19" s="28" t="s">
        <v>4</v>
      </c>
      <c r="G19" s="28" t="s">
        <v>4</v>
      </c>
      <c r="H19" s="8" t="str">
        <f t="shared" si="0"/>
        <v>Not logged</v>
      </c>
      <c r="I19" s="8" t="s">
        <v>1378</v>
      </c>
      <c r="J19" s="18" t="s">
        <v>1376</v>
      </c>
    </row>
    <row r="20" spans="1:10" ht="26" x14ac:dyDescent="0.35">
      <c r="A20" s="15" t="s">
        <v>1379</v>
      </c>
      <c r="B20" s="15" t="s">
        <v>1380</v>
      </c>
      <c r="C20" s="8" t="s">
        <v>1381</v>
      </c>
      <c r="D20" s="8" t="s">
        <v>1382</v>
      </c>
      <c r="E20" s="8" t="s">
        <v>1383</v>
      </c>
      <c r="F20" s="28" t="s">
        <v>4</v>
      </c>
      <c r="G20" s="28" t="s">
        <v>4</v>
      </c>
      <c r="H20" s="8" t="str">
        <f t="shared" si="0"/>
        <v>Not logged</v>
      </c>
      <c r="I20" s="8" t="s">
        <v>1384</v>
      </c>
      <c r="J20" s="18" t="s">
        <v>1385</v>
      </c>
    </row>
    <row r="21" spans="1:10" ht="26" x14ac:dyDescent="0.35">
      <c r="A21" s="15" t="s">
        <v>1379</v>
      </c>
      <c r="B21" s="15" t="s">
        <v>1386</v>
      </c>
      <c r="C21" s="8" t="s">
        <v>1387</v>
      </c>
      <c r="D21" s="8" t="s">
        <v>1388</v>
      </c>
      <c r="E21" s="8" t="s">
        <v>1389</v>
      </c>
      <c r="F21" s="28" t="s">
        <v>4</v>
      </c>
      <c r="G21" s="28" t="s">
        <v>4</v>
      </c>
      <c r="H21" s="8" t="str">
        <f t="shared" si="0"/>
        <v>Not logged</v>
      </c>
      <c r="I21" s="8" t="s">
        <v>1390</v>
      </c>
      <c r="J21" s="18" t="s">
        <v>1391</v>
      </c>
    </row>
    <row r="22" spans="1:10" x14ac:dyDescent="0.35">
      <c r="A22" s="15" t="s">
        <v>1379</v>
      </c>
      <c r="B22" s="15" t="s">
        <v>1392</v>
      </c>
      <c r="C22" s="8" t="s">
        <v>1393</v>
      </c>
      <c r="D22" s="8" t="s">
        <v>1394</v>
      </c>
      <c r="E22" s="8" t="s">
        <v>1389</v>
      </c>
      <c r="F22" s="28" t="s">
        <v>4</v>
      </c>
      <c r="G22" s="28" t="s">
        <v>4</v>
      </c>
      <c r="H22" s="8" t="str">
        <f t="shared" si="0"/>
        <v>Not logged</v>
      </c>
      <c r="I22" s="8" t="s">
        <v>1395</v>
      </c>
      <c r="J22" s="18" t="s">
        <v>1396</v>
      </c>
    </row>
    <row r="23" spans="1:10" ht="26" x14ac:dyDescent="0.35">
      <c r="A23" s="15" t="s">
        <v>1397</v>
      </c>
      <c r="B23" s="15" t="s">
        <v>1398</v>
      </c>
      <c r="C23" s="8" t="s">
        <v>1399</v>
      </c>
      <c r="D23" s="8" t="s">
        <v>1400</v>
      </c>
      <c r="E23" s="8" t="s">
        <v>1401</v>
      </c>
      <c r="F23" s="28" t="s">
        <v>4</v>
      </c>
      <c r="G23" s="28" t="s">
        <v>4</v>
      </c>
      <c r="H23" s="8" t="str">
        <f t="shared" si="0"/>
        <v>Not logged</v>
      </c>
      <c r="I23" s="8" t="s">
        <v>1402</v>
      </c>
      <c r="J23" s="18" t="s">
        <v>1403</v>
      </c>
    </row>
    <row r="24" spans="1:10" x14ac:dyDescent="0.35">
      <c r="A24" s="15" t="s">
        <v>1397</v>
      </c>
      <c r="B24" s="15" t="s">
        <v>1404</v>
      </c>
      <c r="C24" s="8" t="s">
        <v>1405</v>
      </c>
      <c r="D24" s="8" t="s">
        <v>1406</v>
      </c>
      <c r="E24" s="8" t="s">
        <v>1328</v>
      </c>
      <c r="F24" s="28" t="s">
        <v>4</v>
      </c>
      <c r="G24" s="28" t="s">
        <v>4</v>
      </c>
      <c r="H24" s="8" t="str">
        <f t="shared" si="0"/>
        <v>Not logged</v>
      </c>
      <c r="I24" s="8" t="s">
        <v>1407</v>
      </c>
      <c r="J24" s="18" t="s">
        <v>1408</v>
      </c>
    </row>
    <row r="25" spans="1:10" x14ac:dyDescent="0.35">
      <c r="A25" s="15" t="s">
        <v>1397</v>
      </c>
      <c r="B25" s="15" t="s">
        <v>1409</v>
      </c>
      <c r="C25" s="8" t="s">
        <v>1410</v>
      </c>
      <c r="D25" s="8" t="s">
        <v>1332</v>
      </c>
      <c r="E25" s="8" t="s">
        <v>1328</v>
      </c>
      <c r="F25" s="28" t="s">
        <v>4</v>
      </c>
      <c r="G25" s="28" t="s">
        <v>4</v>
      </c>
      <c r="H25" s="8" t="str">
        <f t="shared" si="0"/>
        <v>Not logged</v>
      </c>
      <c r="I25" s="8" t="s">
        <v>1411</v>
      </c>
      <c r="J25" s="18" t="s">
        <v>1408</v>
      </c>
    </row>
    <row r="26" spans="1:10" x14ac:dyDescent="0.35">
      <c r="A26" s="15" t="s">
        <v>1397</v>
      </c>
      <c r="B26" s="15" t="s">
        <v>1412</v>
      </c>
      <c r="C26" s="8" t="s">
        <v>1413</v>
      </c>
      <c r="D26" s="8" t="s">
        <v>1414</v>
      </c>
      <c r="E26" s="8" t="s">
        <v>1415</v>
      </c>
      <c r="F26" s="28" t="s">
        <v>4</v>
      </c>
      <c r="G26" s="28" t="s">
        <v>4</v>
      </c>
      <c r="H26" s="8" t="str">
        <f t="shared" si="0"/>
        <v>Not logged</v>
      </c>
      <c r="I26" s="8" t="s">
        <v>1416</v>
      </c>
      <c r="J26" s="18" t="s">
        <v>1417</v>
      </c>
    </row>
    <row r="27" spans="1:10" x14ac:dyDescent="0.35">
      <c r="A27" s="15" t="s">
        <v>1397</v>
      </c>
      <c r="B27" s="15" t="s">
        <v>1418</v>
      </c>
      <c r="C27" s="8" t="s">
        <v>1419</v>
      </c>
      <c r="D27" s="8" t="s">
        <v>1414</v>
      </c>
      <c r="E27" s="8" t="s">
        <v>1415</v>
      </c>
      <c r="F27" s="28" t="s">
        <v>4</v>
      </c>
      <c r="G27" s="28" t="s">
        <v>4</v>
      </c>
      <c r="H27" s="8" t="str">
        <f t="shared" si="0"/>
        <v>Not logged</v>
      </c>
      <c r="I27" s="8" t="s">
        <v>1420</v>
      </c>
      <c r="J27" s="18" t="s">
        <v>1408</v>
      </c>
    </row>
    <row r="28" spans="1:10" x14ac:dyDescent="0.35">
      <c r="A28" s="15" t="s">
        <v>1397</v>
      </c>
      <c r="B28" s="15" t="s">
        <v>1421</v>
      </c>
      <c r="C28" s="8" t="s">
        <v>1422</v>
      </c>
      <c r="D28" s="8" t="s">
        <v>1423</v>
      </c>
      <c r="E28" s="8" t="s">
        <v>1415</v>
      </c>
      <c r="F28" s="28" t="s">
        <v>4</v>
      </c>
      <c r="G28" s="28" t="s">
        <v>4</v>
      </c>
      <c r="H28" s="8" t="str">
        <f t="shared" si="0"/>
        <v>Not logged</v>
      </c>
      <c r="I28" s="8" t="s">
        <v>1424</v>
      </c>
      <c r="J28" s="18" t="s">
        <v>1425</v>
      </c>
    </row>
    <row r="29" spans="1:10" x14ac:dyDescent="0.35">
      <c r="A29" s="15" t="s">
        <v>1397</v>
      </c>
      <c r="B29" s="15" t="s">
        <v>1426</v>
      </c>
      <c r="C29" s="8" t="s">
        <v>1427</v>
      </c>
      <c r="D29" s="8" t="s">
        <v>1428</v>
      </c>
      <c r="E29" s="8" t="s">
        <v>1429</v>
      </c>
      <c r="F29" s="28" t="s">
        <v>4</v>
      </c>
      <c r="G29" s="28" t="s">
        <v>4</v>
      </c>
      <c r="H29" s="8" t="str">
        <f t="shared" si="0"/>
        <v>Not logged</v>
      </c>
      <c r="I29" s="8" t="s">
        <v>1430</v>
      </c>
      <c r="J29" s="18" t="s">
        <v>1408</v>
      </c>
    </row>
    <row r="30" spans="1:10" x14ac:dyDescent="0.35">
      <c r="A30" s="15" t="s">
        <v>1431</v>
      </c>
      <c r="B30" s="15" t="s">
        <v>1432</v>
      </c>
      <c r="C30" s="8" t="s">
        <v>1433</v>
      </c>
      <c r="D30" s="8" t="s">
        <v>1434</v>
      </c>
      <c r="E30" s="8" t="s">
        <v>1333</v>
      </c>
      <c r="F30" s="28" t="s">
        <v>4</v>
      </c>
      <c r="G30" s="28" t="s">
        <v>4</v>
      </c>
      <c r="H30" s="8" t="str">
        <f t="shared" si="0"/>
        <v>Not logged</v>
      </c>
      <c r="I30" s="8" t="s">
        <v>1435</v>
      </c>
      <c r="J30" s="18" t="s">
        <v>1436</v>
      </c>
    </row>
    <row r="31" spans="1:10" x14ac:dyDescent="0.35">
      <c r="A31" s="15" t="s">
        <v>1431</v>
      </c>
      <c r="B31" s="15" t="s">
        <v>1437</v>
      </c>
      <c r="C31" s="8" t="s">
        <v>1438</v>
      </c>
      <c r="D31" s="8" t="s">
        <v>1439</v>
      </c>
      <c r="E31" s="8" t="s">
        <v>1440</v>
      </c>
      <c r="F31" s="28" t="s">
        <v>4</v>
      </c>
      <c r="G31" s="28" t="s">
        <v>4</v>
      </c>
      <c r="H31" s="8" t="str">
        <f t="shared" si="0"/>
        <v>Not logged</v>
      </c>
      <c r="I31" s="8" t="s">
        <v>1441</v>
      </c>
      <c r="J31" s="18" t="s">
        <v>1436</v>
      </c>
    </row>
    <row r="32" spans="1:10" x14ac:dyDescent="0.35">
      <c r="A32" s="15" t="s">
        <v>1431</v>
      </c>
      <c r="B32" s="15" t="s">
        <v>1442</v>
      </c>
      <c r="C32" s="8" t="s">
        <v>1443</v>
      </c>
      <c r="D32" s="8" t="s">
        <v>1444</v>
      </c>
      <c r="E32" s="8" t="s">
        <v>1445</v>
      </c>
      <c r="F32" s="28" t="s">
        <v>4</v>
      </c>
      <c r="G32" s="28" t="s">
        <v>4</v>
      </c>
      <c r="H32" s="8" t="str">
        <f t="shared" si="0"/>
        <v>Not logged</v>
      </c>
      <c r="I32" s="8" t="s">
        <v>1446</v>
      </c>
      <c r="J32" s="18" t="s">
        <v>1436</v>
      </c>
    </row>
    <row r="33" spans="1:10" ht="26" x14ac:dyDescent="0.35">
      <c r="A33" s="15" t="s">
        <v>1447</v>
      </c>
      <c r="B33" s="15" t="s">
        <v>1448</v>
      </c>
      <c r="C33" s="8" t="s">
        <v>1449</v>
      </c>
      <c r="D33" s="8" t="s">
        <v>1450</v>
      </c>
      <c r="E33" s="8" t="s">
        <v>1440</v>
      </c>
      <c r="F33" s="28" t="s">
        <v>4</v>
      </c>
      <c r="G33" s="28" t="s">
        <v>4</v>
      </c>
      <c r="H33" s="8" t="str">
        <f t="shared" si="0"/>
        <v>Not logged</v>
      </c>
      <c r="I33" s="8" t="s">
        <v>1451</v>
      </c>
      <c r="J33" s="18" t="s">
        <v>1452</v>
      </c>
    </row>
    <row r="34" spans="1:10" x14ac:dyDescent="0.35">
      <c r="A34" s="15" t="s">
        <v>1447</v>
      </c>
      <c r="B34" s="15" t="s">
        <v>1453</v>
      </c>
      <c r="C34" s="8" t="s">
        <v>1454</v>
      </c>
      <c r="D34" s="8" t="s">
        <v>1455</v>
      </c>
      <c r="E34" s="8" t="s">
        <v>1440</v>
      </c>
      <c r="F34" s="28" t="s">
        <v>4</v>
      </c>
      <c r="G34" s="28" t="s">
        <v>4</v>
      </c>
      <c r="H34" s="8" t="str">
        <f t="shared" si="0"/>
        <v>Not logged</v>
      </c>
      <c r="I34" s="8" t="s">
        <v>1456</v>
      </c>
      <c r="J34" s="18" t="s">
        <v>1452</v>
      </c>
    </row>
    <row r="35" spans="1:10" x14ac:dyDescent="0.35">
      <c r="A35" s="15" t="s">
        <v>1447</v>
      </c>
      <c r="B35" s="15" t="s">
        <v>1457</v>
      </c>
      <c r="C35" s="8" t="s">
        <v>1458</v>
      </c>
      <c r="D35" s="8" t="s">
        <v>1459</v>
      </c>
      <c r="E35" s="8" t="s">
        <v>1365</v>
      </c>
      <c r="F35" s="28" t="s">
        <v>4</v>
      </c>
      <c r="G35" s="28" t="s">
        <v>4</v>
      </c>
      <c r="H35" s="8" t="str">
        <f t="shared" si="0"/>
        <v>Not logged</v>
      </c>
      <c r="I35" s="8" t="s">
        <v>1460</v>
      </c>
      <c r="J35" s="18" t="s">
        <v>1452</v>
      </c>
    </row>
    <row r="36" spans="1:10" x14ac:dyDescent="0.35">
      <c r="A36" s="15" t="s">
        <v>1447</v>
      </c>
      <c r="B36" s="15" t="s">
        <v>1461</v>
      </c>
      <c r="C36" s="8" t="s">
        <v>1462</v>
      </c>
      <c r="D36" s="8" t="s">
        <v>1463</v>
      </c>
      <c r="E36" s="8" t="s">
        <v>1464</v>
      </c>
      <c r="F36" s="28" t="s">
        <v>4</v>
      </c>
      <c r="G36" s="28" t="s">
        <v>4</v>
      </c>
      <c r="H36" s="8" t="str">
        <f t="shared" si="0"/>
        <v>Not logged</v>
      </c>
      <c r="I36" s="8" t="s">
        <v>1465</v>
      </c>
      <c r="J36" s="18" t="s">
        <v>1466</v>
      </c>
    </row>
    <row r="37" spans="1:10" ht="26" x14ac:dyDescent="0.35">
      <c r="A37" s="15" t="s">
        <v>1447</v>
      </c>
      <c r="B37" s="15" t="s">
        <v>1467</v>
      </c>
      <c r="C37" s="8" t="s">
        <v>1468</v>
      </c>
      <c r="D37" s="8" t="s">
        <v>1462</v>
      </c>
      <c r="E37" s="8" t="s">
        <v>1469</v>
      </c>
      <c r="F37" s="28" t="s">
        <v>4</v>
      </c>
      <c r="G37" s="28" t="s">
        <v>4</v>
      </c>
      <c r="H37" s="8" t="str">
        <f t="shared" si="0"/>
        <v>Not logged</v>
      </c>
      <c r="I37" s="8" t="s">
        <v>1470</v>
      </c>
      <c r="J37" s="18" t="s">
        <v>1471</v>
      </c>
    </row>
    <row r="38" spans="1:10" ht="26" x14ac:dyDescent="0.35">
      <c r="A38" s="15" t="s">
        <v>1472</v>
      </c>
      <c r="B38" s="15" t="s">
        <v>1473</v>
      </c>
      <c r="C38" s="8" t="s">
        <v>1474</v>
      </c>
      <c r="D38" s="8" t="s">
        <v>1475</v>
      </c>
      <c r="E38" s="8" t="s">
        <v>1469</v>
      </c>
      <c r="F38" s="28" t="s">
        <v>4</v>
      </c>
      <c r="G38" s="28" t="s">
        <v>4</v>
      </c>
      <c r="H38" s="8" t="str">
        <f t="shared" si="0"/>
        <v>Not logged</v>
      </c>
      <c r="I38" s="8" t="s">
        <v>1476</v>
      </c>
      <c r="J38" s="18" t="s">
        <v>1477</v>
      </c>
    </row>
    <row r="39" spans="1:10" x14ac:dyDescent="0.35">
      <c r="A39" s="15" t="s">
        <v>1472</v>
      </c>
      <c r="B39" s="15" t="s">
        <v>1478</v>
      </c>
      <c r="C39" s="8" t="s">
        <v>1479</v>
      </c>
      <c r="D39" s="8" t="s">
        <v>1480</v>
      </c>
      <c r="E39" s="8" t="s">
        <v>1445</v>
      </c>
      <c r="F39" s="28" t="s">
        <v>4</v>
      </c>
      <c r="G39" s="28" t="s">
        <v>4</v>
      </c>
      <c r="H39" s="8" t="str">
        <f t="shared" si="0"/>
        <v>Not logged</v>
      </c>
      <c r="I39" s="8" t="s">
        <v>1481</v>
      </c>
      <c r="J39" s="18" t="s">
        <v>1482</v>
      </c>
    </row>
    <row r="40" spans="1:10" x14ac:dyDescent="0.35">
      <c r="A40" s="15" t="s">
        <v>1472</v>
      </c>
      <c r="B40" s="15" t="s">
        <v>1483</v>
      </c>
      <c r="C40" s="8" t="s">
        <v>1484</v>
      </c>
      <c r="D40" s="8" t="s">
        <v>1484</v>
      </c>
      <c r="E40" s="8" t="s">
        <v>1389</v>
      </c>
      <c r="F40" s="28" t="s">
        <v>4</v>
      </c>
      <c r="G40" s="28" t="s">
        <v>4</v>
      </c>
      <c r="H40" s="8" t="str">
        <f t="shared" si="0"/>
        <v>Not logged</v>
      </c>
      <c r="I40" s="8" t="s">
        <v>1485</v>
      </c>
      <c r="J40" s="18" t="s">
        <v>1486</v>
      </c>
    </row>
    <row r="41" spans="1:10" x14ac:dyDescent="0.35">
      <c r="A41" s="15" t="s">
        <v>1472</v>
      </c>
      <c r="B41" s="15" t="s">
        <v>1487</v>
      </c>
      <c r="C41" s="8" t="s">
        <v>1488</v>
      </c>
      <c r="D41" s="8" t="s">
        <v>1489</v>
      </c>
      <c r="E41" s="8" t="s">
        <v>1469</v>
      </c>
      <c r="F41" s="28" t="s">
        <v>4</v>
      </c>
      <c r="G41" s="28" t="s">
        <v>4</v>
      </c>
      <c r="H41" s="8" t="str">
        <f t="shared" si="0"/>
        <v>Not logged</v>
      </c>
      <c r="I41" s="8" t="s">
        <v>1490</v>
      </c>
      <c r="J41" s="18" t="s">
        <v>1491</v>
      </c>
    </row>
    <row r="42" spans="1:10" ht="26" x14ac:dyDescent="0.35">
      <c r="A42" s="15" t="s">
        <v>1472</v>
      </c>
      <c r="B42" s="15" t="s">
        <v>1492</v>
      </c>
      <c r="C42" s="8" t="s">
        <v>1493</v>
      </c>
      <c r="D42" s="8" t="s">
        <v>1494</v>
      </c>
      <c r="E42" s="8" t="s">
        <v>1469</v>
      </c>
      <c r="F42" s="28" t="s">
        <v>4</v>
      </c>
      <c r="G42" s="28" t="s">
        <v>4</v>
      </c>
      <c r="H42" s="8" t="str">
        <f t="shared" si="0"/>
        <v>Not logged</v>
      </c>
      <c r="I42" s="8" t="s">
        <v>1495</v>
      </c>
      <c r="J42" s="18" t="s">
        <v>1408</v>
      </c>
    </row>
    <row r="43" spans="1:10" x14ac:dyDescent="0.35">
      <c r="A43" s="15" t="s">
        <v>1472</v>
      </c>
      <c r="B43" s="15" t="s">
        <v>1496</v>
      </c>
      <c r="C43" s="8" t="s">
        <v>1497</v>
      </c>
      <c r="D43" s="8" t="s">
        <v>1498</v>
      </c>
      <c r="E43" s="8" t="s">
        <v>1323</v>
      </c>
      <c r="F43" s="28" t="s">
        <v>4</v>
      </c>
      <c r="G43" s="28" t="s">
        <v>4</v>
      </c>
      <c r="H43" s="8" t="str">
        <f t="shared" si="0"/>
        <v>Not logged</v>
      </c>
      <c r="I43" s="8" t="s">
        <v>1499</v>
      </c>
      <c r="J43" s="18" t="s">
        <v>1500</v>
      </c>
    </row>
    <row r="44" spans="1:10" x14ac:dyDescent="0.35">
      <c r="A44" s="15" t="s">
        <v>1472</v>
      </c>
      <c r="B44" s="15" t="s">
        <v>1501</v>
      </c>
      <c r="C44" s="8" t="s">
        <v>1502</v>
      </c>
      <c r="D44" s="8" t="s">
        <v>1503</v>
      </c>
      <c r="E44" s="8" t="s">
        <v>1328</v>
      </c>
      <c r="F44" s="28" t="s">
        <v>4</v>
      </c>
      <c r="G44" s="28" t="s">
        <v>4</v>
      </c>
      <c r="H44" s="8" t="str">
        <f t="shared" si="0"/>
        <v>Not logged</v>
      </c>
      <c r="I44" s="8" t="s">
        <v>1504</v>
      </c>
      <c r="J44" s="18" t="s">
        <v>1505</v>
      </c>
    </row>
    <row r="45" spans="1:10" x14ac:dyDescent="0.35">
      <c r="A45" s="15" t="s">
        <v>1472</v>
      </c>
      <c r="B45" s="15" t="s">
        <v>1506</v>
      </c>
      <c r="C45" s="8" t="s">
        <v>1507</v>
      </c>
      <c r="D45" s="8" t="s">
        <v>1508</v>
      </c>
      <c r="E45" s="8" t="s">
        <v>1464</v>
      </c>
      <c r="F45" s="28" t="s">
        <v>4</v>
      </c>
      <c r="G45" s="28" t="s">
        <v>4</v>
      </c>
      <c r="H45" s="8" t="str">
        <f t="shared" si="0"/>
        <v>Not logged</v>
      </c>
      <c r="I45" s="8" t="s">
        <v>1509</v>
      </c>
      <c r="J45" s="18" t="s">
        <v>1192</v>
      </c>
    </row>
    <row r="46" spans="1:10" ht="26" x14ac:dyDescent="0.35">
      <c r="A46" s="15" t="s">
        <v>1510</v>
      </c>
      <c r="B46" s="15" t="s">
        <v>1511</v>
      </c>
      <c r="C46" s="8" t="s">
        <v>1512</v>
      </c>
      <c r="D46" s="8" t="s">
        <v>128</v>
      </c>
      <c r="E46" s="8" t="s">
        <v>1429</v>
      </c>
      <c r="F46" s="28" t="s">
        <v>4</v>
      </c>
      <c r="G46" s="28" t="s">
        <v>4</v>
      </c>
      <c r="H46" s="8" t="str">
        <f t="shared" si="0"/>
        <v>Not logged</v>
      </c>
      <c r="I46" s="8" t="s">
        <v>1513</v>
      </c>
      <c r="J46" s="18" t="s">
        <v>1510</v>
      </c>
    </row>
    <row r="47" spans="1:10" x14ac:dyDescent="0.35">
      <c r="A47" s="15" t="s">
        <v>1510</v>
      </c>
      <c r="B47" s="15" t="s">
        <v>1514</v>
      </c>
      <c r="C47" s="8" t="s">
        <v>1515</v>
      </c>
      <c r="D47" s="8" t="s">
        <v>1516</v>
      </c>
      <c r="E47" s="8" t="s">
        <v>1517</v>
      </c>
      <c r="F47" s="28" t="s">
        <v>4</v>
      </c>
      <c r="G47" s="28" t="s">
        <v>4</v>
      </c>
      <c r="H47" s="8" t="str">
        <f t="shared" si="0"/>
        <v>Not logged</v>
      </c>
      <c r="I47" s="8" t="s">
        <v>1518</v>
      </c>
      <c r="J47" s="18" t="s">
        <v>1510</v>
      </c>
    </row>
    <row r="48" spans="1:10" x14ac:dyDescent="0.35">
      <c r="A48" s="15" t="s">
        <v>1510</v>
      </c>
      <c r="B48" s="15" t="s">
        <v>1519</v>
      </c>
      <c r="C48" s="8" t="s">
        <v>1520</v>
      </c>
      <c r="D48" s="8" t="s">
        <v>1521</v>
      </c>
      <c r="E48" s="8" t="s">
        <v>1323</v>
      </c>
      <c r="F48" s="28" t="s">
        <v>4</v>
      </c>
      <c r="G48" s="28" t="s">
        <v>4</v>
      </c>
      <c r="H48" s="8" t="str">
        <f t="shared" si="0"/>
        <v>Not logged</v>
      </c>
      <c r="I48" s="8" t="s">
        <v>1522</v>
      </c>
      <c r="J48" s="18" t="s">
        <v>1523</v>
      </c>
    </row>
    <row r="49" spans="1:10" x14ac:dyDescent="0.35">
      <c r="A49" s="15" t="s">
        <v>1510</v>
      </c>
      <c r="B49" s="15" t="s">
        <v>1524</v>
      </c>
      <c r="C49" s="8" t="s">
        <v>1525</v>
      </c>
      <c r="D49" s="8" t="s">
        <v>1526</v>
      </c>
      <c r="E49" s="8" t="s">
        <v>1517</v>
      </c>
      <c r="F49" s="28" t="s">
        <v>4</v>
      </c>
      <c r="G49" s="28" t="s">
        <v>4</v>
      </c>
      <c r="H49" s="8" t="str">
        <f t="shared" si="0"/>
        <v>Not logged</v>
      </c>
      <c r="I49" s="8" t="s">
        <v>1527</v>
      </c>
      <c r="J49" s="18" t="s">
        <v>1510</v>
      </c>
    </row>
    <row r="50" spans="1:10" x14ac:dyDescent="0.35">
      <c r="A50" s="15" t="s">
        <v>1528</v>
      </c>
      <c r="B50" s="15" t="s">
        <v>1529</v>
      </c>
      <c r="C50" s="8" t="s">
        <v>1530</v>
      </c>
      <c r="D50" s="8" t="s">
        <v>1530</v>
      </c>
      <c r="E50" s="8" t="s">
        <v>1469</v>
      </c>
      <c r="F50" s="28" t="s">
        <v>4</v>
      </c>
      <c r="G50" s="28" t="s">
        <v>4</v>
      </c>
      <c r="H50" s="8" t="str">
        <f t="shared" si="0"/>
        <v>Not logged</v>
      </c>
      <c r="I50" s="8" t="s">
        <v>1531</v>
      </c>
      <c r="J50" s="18" t="s">
        <v>1532</v>
      </c>
    </row>
    <row r="51" spans="1:10" x14ac:dyDescent="0.35">
      <c r="A51" s="15" t="s">
        <v>1528</v>
      </c>
      <c r="B51" s="15" t="s">
        <v>1533</v>
      </c>
      <c r="C51" s="8" t="s">
        <v>1534</v>
      </c>
      <c r="D51" s="8" t="s">
        <v>1382</v>
      </c>
      <c r="E51" s="8" t="s">
        <v>1469</v>
      </c>
      <c r="F51" s="28" t="s">
        <v>4</v>
      </c>
      <c r="G51" s="28" t="s">
        <v>4</v>
      </c>
      <c r="H51" s="8" t="str">
        <f t="shared" si="0"/>
        <v>Not logged</v>
      </c>
      <c r="I51" s="8" t="s">
        <v>1535</v>
      </c>
      <c r="J51" s="18" t="s">
        <v>1536</v>
      </c>
    </row>
    <row r="53" spans="1:10" x14ac:dyDescent="0.35">
      <c r="A53" s="62" t="s">
        <v>1537</v>
      </c>
      <c r="B53" s="53"/>
      <c r="C53" s="53"/>
      <c r="D53" s="53"/>
      <c r="E53" s="53"/>
      <c r="F53" s="53"/>
      <c r="G53" s="53"/>
      <c r="H53" s="53"/>
      <c r="I53" s="53"/>
      <c r="J53" s="53"/>
    </row>
  </sheetData>
  <mergeCells count="1">
    <mergeCell ref="A53:J53"/>
  </mergeCells>
  <conditionalFormatting sqref="H7:H51">
    <cfRule type="expression" dxfId="7" priority="1">
      <formula>$H7="Not logged"</formula>
    </cfRule>
    <cfRule type="expression" dxfId="6" priority="2">
      <formula>$H7="Discuss with MD"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5"/>
  <sheetViews>
    <sheetView topLeftCell="A4" workbookViewId="0"/>
  </sheetViews>
  <sheetFormatPr defaultRowHeight="14.5" x14ac:dyDescent="0.35"/>
  <cols>
    <col min="1" max="1" width="28" customWidth="1"/>
    <col min="2" max="2" width="30" customWidth="1"/>
    <col min="3" max="3" width="16" customWidth="1"/>
    <col min="4" max="5" width="14" customWidth="1"/>
    <col min="6" max="6" width="18" customWidth="1"/>
    <col min="7" max="7" width="50" customWidth="1"/>
    <col min="8" max="8" width="22" customWidth="1"/>
    <col min="11" max="12" width="20" customWidth="1"/>
  </cols>
  <sheetData>
    <row r="1" spans="1:12" ht="21" x14ac:dyDescent="0.5">
      <c r="A1" s="1" t="s">
        <v>1538</v>
      </c>
      <c r="K1" s="47" t="s">
        <v>1</v>
      </c>
      <c r="L1" s="48" t="s">
        <v>2</v>
      </c>
    </row>
    <row r="2" spans="1:12" x14ac:dyDescent="0.35">
      <c r="A2" s="2" t="s">
        <v>1539</v>
      </c>
    </row>
    <row r="4" spans="1:12" ht="15.5" x14ac:dyDescent="0.35">
      <c r="A4" s="52" t="s">
        <v>1540</v>
      </c>
      <c r="B4" s="53"/>
      <c r="C4" s="53"/>
      <c r="D4" s="53"/>
      <c r="E4" s="53"/>
      <c r="F4" s="53"/>
      <c r="G4" s="53"/>
      <c r="H4" s="53"/>
    </row>
    <row r="5" spans="1:12" x14ac:dyDescent="0.35">
      <c r="A5" s="6" t="s">
        <v>1541</v>
      </c>
      <c r="B5" s="6" t="s">
        <v>1542</v>
      </c>
      <c r="C5" s="6" t="s">
        <v>1543</v>
      </c>
      <c r="D5" s="6" t="s">
        <v>1544</v>
      </c>
      <c r="E5" s="6" t="s">
        <v>1545</v>
      </c>
      <c r="F5" s="6" t="s">
        <v>734</v>
      </c>
      <c r="G5" s="6" t="s">
        <v>119</v>
      </c>
      <c r="H5" s="6" t="s">
        <v>122</v>
      </c>
    </row>
    <row r="6" spans="1:12" x14ac:dyDescent="0.35">
      <c r="A6" s="15" t="s">
        <v>1546</v>
      </c>
      <c r="B6" s="8" t="s">
        <v>1547</v>
      </c>
      <c r="C6" s="8">
        <v>10</v>
      </c>
      <c r="D6" s="28" t="s">
        <v>4</v>
      </c>
      <c r="E6" s="29" t="str">
        <f t="shared" ref="E6:E21" si="0">IF(D6="","",IF(C6=0,"One-time/symptom",D6+C6*365))</f>
        <v/>
      </c>
      <c r="F6" s="8" t="str">
        <f t="shared" ref="F6:F21" ca="1" si="1">IF(D6="","Not logged",IF(C6=0,"Document once",IF(E6-TODAY()&lt;0,"DUE NOW",IF(E6-TODAY()&lt;60,"Due &lt;60d","OK"))))</f>
        <v>Not logged</v>
      </c>
      <c r="G6" s="8" t="s">
        <v>1548</v>
      </c>
      <c r="H6" s="18" t="s">
        <v>1549</v>
      </c>
    </row>
    <row r="7" spans="1:12" x14ac:dyDescent="0.35">
      <c r="A7" s="15" t="s">
        <v>1550</v>
      </c>
      <c r="B7" s="8" t="s">
        <v>1551</v>
      </c>
      <c r="C7" s="8">
        <v>3</v>
      </c>
      <c r="D7" s="28" t="s">
        <v>4</v>
      </c>
      <c r="E7" s="29" t="str">
        <f t="shared" si="0"/>
        <v/>
      </c>
      <c r="F7" s="8" t="str">
        <f t="shared" ca="1" si="1"/>
        <v>Not logged</v>
      </c>
      <c r="G7" s="8" t="s">
        <v>1552</v>
      </c>
      <c r="H7" s="18" t="s">
        <v>1549</v>
      </c>
    </row>
    <row r="8" spans="1:12" x14ac:dyDescent="0.35">
      <c r="A8" s="15" t="s">
        <v>1553</v>
      </c>
      <c r="B8" s="8" t="s">
        <v>1554</v>
      </c>
      <c r="C8" s="8">
        <v>2</v>
      </c>
      <c r="D8" s="28" t="s">
        <v>4</v>
      </c>
      <c r="E8" s="29" t="str">
        <f t="shared" si="0"/>
        <v/>
      </c>
      <c r="F8" s="8" t="str">
        <f t="shared" ca="1" si="1"/>
        <v>Not logged</v>
      </c>
      <c r="G8" s="8" t="s">
        <v>1555</v>
      </c>
      <c r="H8" s="18" t="s">
        <v>1556</v>
      </c>
    </row>
    <row r="9" spans="1:12" x14ac:dyDescent="0.35">
      <c r="A9" s="15" t="s">
        <v>1557</v>
      </c>
      <c r="B9" s="8" t="s">
        <v>1558</v>
      </c>
      <c r="C9" s="8">
        <v>1</v>
      </c>
      <c r="D9" s="28" t="s">
        <v>4</v>
      </c>
      <c r="E9" s="29" t="str">
        <f t="shared" si="0"/>
        <v/>
      </c>
      <c r="F9" s="8" t="str">
        <f t="shared" ca="1" si="1"/>
        <v>Not logged</v>
      </c>
      <c r="G9" s="8" t="s">
        <v>1559</v>
      </c>
      <c r="H9" s="18" t="s">
        <v>1560</v>
      </c>
    </row>
    <row r="10" spans="1:12" x14ac:dyDescent="0.35">
      <c r="A10" s="15" t="s">
        <v>1529</v>
      </c>
      <c r="B10" s="8" t="s">
        <v>1561</v>
      </c>
      <c r="C10" s="8">
        <v>2</v>
      </c>
      <c r="D10" s="28" t="s">
        <v>4</v>
      </c>
      <c r="E10" s="29" t="str">
        <f t="shared" si="0"/>
        <v/>
      </c>
      <c r="F10" s="8" t="str">
        <f t="shared" ca="1" si="1"/>
        <v>Not logged</v>
      </c>
      <c r="G10" s="8" t="s">
        <v>1562</v>
      </c>
      <c r="H10" s="18" t="s">
        <v>1532</v>
      </c>
    </row>
    <row r="11" spans="1:12" x14ac:dyDescent="0.35">
      <c r="A11" s="15" t="s">
        <v>1563</v>
      </c>
      <c r="B11" s="8" t="s">
        <v>1564</v>
      </c>
      <c r="C11" s="8">
        <v>1</v>
      </c>
      <c r="D11" s="28" t="s">
        <v>4</v>
      </c>
      <c r="E11" s="29" t="str">
        <f t="shared" si="0"/>
        <v/>
      </c>
      <c r="F11" s="8" t="str">
        <f t="shared" ca="1" si="1"/>
        <v>Not logged</v>
      </c>
      <c r="G11" s="8" t="s">
        <v>1565</v>
      </c>
      <c r="H11" s="18" t="s">
        <v>1566</v>
      </c>
    </row>
    <row r="12" spans="1:12" x14ac:dyDescent="0.35">
      <c r="A12" s="15" t="s">
        <v>1567</v>
      </c>
      <c r="B12" s="8" t="s">
        <v>1568</v>
      </c>
      <c r="C12" s="8">
        <v>1</v>
      </c>
      <c r="D12" s="28" t="s">
        <v>4</v>
      </c>
      <c r="E12" s="29" t="str">
        <f t="shared" si="0"/>
        <v/>
      </c>
      <c r="F12" s="8" t="str">
        <f t="shared" ca="1" si="1"/>
        <v>Not logged</v>
      </c>
      <c r="G12" s="8" t="s">
        <v>1569</v>
      </c>
      <c r="H12" s="18" t="s">
        <v>1570</v>
      </c>
    </row>
    <row r="13" spans="1:12" x14ac:dyDescent="0.35">
      <c r="A13" s="15" t="s">
        <v>1571</v>
      </c>
      <c r="B13" s="8" t="s">
        <v>1572</v>
      </c>
      <c r="C13" s="8">
        <v>0.5</v>
      </c>
      <c r="D13" s="28" t="s">
        <v>4</v>
      </c>
      <c r="E13" s="29" t="str">
        <f t="shared" si="0"/>
        <v/>
      </c>
      <c r="F13" s="8" t="str">
        <f t="shared" ca="1" si="1"/>
        <v>Not logged</v>
      </c>
      <c r="G13" s="8" t="s">
        <v>1573</v>
      </c>
      <c r="H13" s="18" t="s">
        <v>1574</v>
      </c>
    </row>
    <row r="14" spans="1:12" ht="26" x14ac:dyDescent="0.35">
      <c r="A14" s="15" t="s">
        <v>1575</v>
      </c>
      <c r="B14" s="8" t="s">
        <v>1568</v>
      </c>
      <c r="C14" s="8">
        <v>2</v>
      </c>
      <c r="D14" s="28" t="s">
        <v>4</v>
      </c>
      <c r="E14" s="29" t="str">
        <f t="shared" si="0"/>
        <v/>
      </c>
      <c r="F14" s="8" t="str">
        <f t="shared" ca="1" si="1"/>
        <v>Not logged</v>
      </c>
      <c r="G14" s="8" t="s">
        <v>1576</v>
      </c>
      <c r="H14" s="18" t="s">
        <v>1577</v>
      </c>
    </row>
    <row r="15" spans="1:12" x14ac:dyDescent="0.35">
      <c r="A15" s="15" t="s">
        <v>1578</v>
      </c>
      <c r="B15" s="8" t="s">
        <v>1579</v>
      </c>
      <c r="C15" s="8">
        <v>2</v>
      </c>
      <c r="D15" s="28" t="s">
        <v>4</v>
      </c>
      <c r="E15" s="29" t="str">
        <f t="shared" si="0"/>
        <v/>
      </c>
      <c r="F15" s="8" t="str">
        <f t="shared" ca="1" si="1"/>
        <v>Not logged</v>
      </c>
      <c r="G15" s="8" t="s">
        <v>1580</v>
      </c>
      <c r="H15" s="18" t="s">
        <v>1581</v>
      </c>
    </row>
    <row r="16" spans="1:12" x14ac:dyDescent="0.35">
      <c r="A16" s="15" t="s">
        <v>1582</v>
      </c>
      <c r="B16" s="8" t="s">
        <v>1583</v>
      </c>
      <c r="C16" s="8">
        <v>5</v>
      </c>
      <c r="D16" s="28" t="s">
        <v>4</v>
      </c>
      <c r="E16" s="29" t="str">
        <f t="shared" si="0"/>
        <v/>
      </c>
      <c r="F16" s="8" t="str">
        <f t="shared" ca="1" si="1"/>
        <v>Not logged</v>
      </c>
      <c r="G16" s="8" t="s">
        <v>1584</v>
      </c>
      <c r="H16" s="18" t="s">
        <v>1585</v>
      </c>
    </row>
    <row r="17" spans="1:8" x14ac:dyDescent="0.35">
      <c r="A17" s="15" t="s">
        <v>1586</v>
      </c>
      <c r="B17" s="8" t="s">
        <v>1587</v>
      </c>
      <c r="C17" s="8">
        <v>0</v>
      </c>
      <c r="D17" s="28" t="s">
        <v>4</v>
      </c>
      <c r="E17" s="29" t="str">
        <f t="shared" si="0"/>
        <v/>
      </c>
      <c r="F17" s="8" t="str">
        <f t="shared" ca="1" si="1"/>
        <v>Not logged</v>
      </c>
      <c r="G17" s="8" t="s">
        <v>1588</v>
      </c>
      <c r="H17" s="18" t="s">
        <v>1589</v>
      </c>
    </row>
    <row r="18" spans="1:8" x14ac:dyDescent="0.35">
      <c r="A18" s="15" t="s">
        <v>1590</v>
      </c>
      <c r="B18" s="8" t="s">
        <v>1591</v>
      </c>
      <c r="C18" s="8">
        <v>5</v>
      </c>
      <c r="D18" s="28" t="s">
        <v>4</v>
      </c>
      <c r="E18" s="29" t="str">
        <f t="shared" si="0"/>
        <v/>
      </c>
      <c r="F18" s="8" t="str">
        <f t="shared" ca="1" si="1"/>
        <v>Not logged</v>
      </c>
      <c r="G18" s="8" t="s">
        <v>1592</v>
      </c>
      <c r="H18" s="18" t="s">
        <v>1593</v>
      </c>
    </row>
    <row r="19" spans="1:8" x14ac:dyDescent="0.35">
      <c r="A19" s="15" t="s">
        <v>1594</v>
      </c>
      <c r="B19" s="8" t="s">
        <v>1595</v>
      </c>
      <c r="C19" s="8">
        <v>2</v>
      </c>
      <c r="D19" s="28" t="s">
        <v>4</v>
      </c>
      <c r="E19" s="29" t="str">
        <f t="shared" si="0"/>
        <v/>
      </c>
      <c r="F19" s="8" t="str">
        <f t="shared" ca="1" si="1"/>
        <v>Not logged</v>
      </c>
      <c r="G19" s="8" t="s">
        <v>1596</v>
      </c>
      <c r="H19" s="18" t="s">
        <v>1597</v>
      </c>
    </row>
    <row r="20" spans="1:8" x14ac:dyDescent="0.35">
      <c r="A20" s="15" t="s">
        <v>1598</v>
      </c>
      <c r="B20" s="8" t="s">
        <v>1599</v>
      </c>
      <c r="C20" s="8">
        <v>1</v>
      </c>
      <c r="D20" s="28" t="s">
        <v>4</v>
      </c>
      <c r="E20" s="29" t="str">
        <f t="shared" si="0"/>
        <v/>
      </c>
      <c r="F20" s="8" t="str">
        <f t="shared" ca="1" si="1"/>
        <v>Not logged</v>
      </c>
      <c r="G20" s="8" t="s">
        <v>1600</v>
      </c>
      <c r="H20" s="18" t="s">
        <v>1601</v>
      </c>
    </row>
    <row r="21" spans="1:8" x14ac:dyDescent="0.35">
      <c r="A21" s="15" t="s">
        <v>1602</v>
      </c>
      <c r="B21" s="8" t="s">
        <v>1603</v>
      </c>
      <c r="C21" s="8">
        <v>0</v>
      </c>
      <c r="D21" s="28" t="s">
        <v>4</v>
      </c>
      <c r="E21" s="29" t="str">
        <f t="shared" si="0"/>
        <v/>
      </c>
      <c r="F21" s="8" t="str">
        <f t="shared" ca="1" si="1"/>
        <v>Not logged</v>
      </c>
      <c r="G21" s="8" t="s">
        <v>1604</v>
      </c>
      <c r="H21" s="18" t="s">
        <v>131</v>
      </c>
    </row>
    <row r="23" spans="1:8" ht="15.5" x14ac:dyDescent="0.35">
      <c r="A23" s="52" t="s">
        <v>1605</v>
      </c>
      <c r="B23" s="53"/>
      <c r="C23" s="53"/>
      <c r="D23" s="53"/>
      <c r="E23" s="53"/>
      <c r="F23" s="53"/>
      <c r="G23" s="53"/>
      <c r="H23" s="53"/>
    </row>
    <row r="24" spans="1:8" x14ac:dyDescent="0.35">
      <c r="A24" s="6" t="s">
        <v>1606</v>
      </c>
      <c r="B24" s="6" t="s">
        <v>1542</v>
      </c>
      <c r="C24" s="6" t="s">
        <v>1543</v>
      </c>
      <c r="D24" s="6" t="s">
        <v>1544</v>
      </c>
      <c r="E24" s="6" t="s">
        <v>1545</v>
      </c>
      <c r="F24" s="6" t="s">
        <v>734</v>
      </c>
      <c r="G24" s="6" t="s">
        <v>119</v>
      </c>
      <c r="H24" s="6" t="s">
        <v>122</v>
      </c>
    </row>
    <row r="25" spans="1:8" x14ac:dyDescent="0.35">
      <c r="A25" s="15" t="s">
        <v>1607</v>
      </c>
      <c r="B25" s="8" t="s">
        <v>1608</v>
      </c>
      <c r="C25" s="8">
        <v>1</v>
      </c>
      <c r="D25" s="28" t="s">
        <v>4</v>
      </c>
      <c r="E25" s="29" t="str">
        <f t="shared" ref="E25:E32" si="2">IF(D25="","",IF(C25=0,"One-time",D25+C25*365))</f>
        <v/>
      </c>
      <c r="F25" s="8" t="str">
        <f t="shared" ref="F25:F32" ca="1" si="3">IF(D25="","Not logged",IF(C25=0,"Documented",IF(E25-TODAY()&lt;0,"DUE NOW",IF(E25-TODAY()&lt;60,"Due &lt;60d","OK"))))</f>
        <v>Not logged</v>
      </c>
      <c r="G25" s="8" t="s">
        <v>1609</v>
      </c>
      <c r="H25" s="18" t="s">
        <v>1610</v>
      </c>
    </row>
    <row r="26" spans="1:8" x14ac:dyDescent="0.35">
      <c r="A26" s="15" t="s">
        <v>1611</v>
      </c>
      <c r="B26" s="8" t="s">
        <v>1612</v>
      </c>
      <c r="C26" s="8">
        <v>1</v>
      </c>
      <c r="D26" s="28" t="s">
        <v>4</v>
      </c>
      <c r="E26" s="29" t="str">
        <f t="shared" si="2"/>
        <v/>
      </c>
      <c r="F26" s="8" t="str">
        <f t="shared" ca="1" si="3"/>
        <v>Not logged</v>
      </c>
      <c r="G26" s="8" t="s">
        <v>1613</v>
      </c>
      <c r="H26" s="18" t="s">
        <v>1610</v>
      </c>
    </row>
    <row r="27" spans="1:8" x14ac:dyDescent="0.35">
      <c r="A27" s="15" t="s">
        <v>1614</v>
      </c>
      <c r="B27" s="8" t="s">
        <v>1615</v>
      </c>
      <c r="C27" s="8">
        <v>0</v>
      </c>
      <c r="D27" s="28" t="s">
        <v>4</v>
      </c>
      <c r="E27" s="29" t="str">
        <f t="shared" si="2"/>
        <v/>
      </c>
      <c r="F27" s="8" t="str">
        <f t="shared" ca="1" si="3"/>
        <v>Not logged</v>
      </c>
      <c r="G27" s="8" t="s">
        <v>1616</v>
      </c>
      <c r="H27" s="18" t="s">
        <v>1617</v>
      </c>
    </row>
    <row r="28" spans="1:8" ht="26" x14ac:dyDescent="0.35">
      <c r="A28" s="15" t="s">
        <v>1618</v>
      </c>
      <c r="B28" s="8" t="s">
        <v>1619</v>
      </c>
      <c r="C28" s="8">
        <v>0</v>
      </c>
      <c r="D28" s="28" t="s">
        <v>4</v>
      </c>
      <c r="E28" s="29" t="str">
        <f t="shared" si="2"/>
        <v/>
      </c>
      <c r="F28" s="8" t="str">
        <f t="shared" ca="1" si="3"/>
        <v>Not logged</v>
      </c>
      <c r="G28" s="8" t="s">
        <v>1620</v>
      </c>
      <c r="H28" s="18" t="s">
        <v>1610</v>
      </c>
    </row>
    <row r="29" spans="1:8" x14ac:dyDescent="0.35">
      <c r="A29" s="15" t="s">
        <v>1621</v>
      </c>
      <c r="B29" s="8" t="s">
        <v>1622</v>
      </c>
      <c r="C29" s="8">
        <v>10</v>
      </c>
      <c r="D29" s="28" t="s">
        <v>4</v>
      </c>
      <c r="E29" s="29" t="str">
        <f t="shared" si="2"/>
        <v/>
      </c>
      <c r="F29" s="8" t="str">
        <f t="shared" ca="1" si="3"/>
        <v>Not logged</v>
      </c>
      <c r="G29" s="8" t="s">
        <v>1623</v>
      </c>
      <c r="H29" s="18" t="s">
        <v>1610</v>
      </c>
    </row>
    <row r="30" spans="1:8" ht="26" x14ac:dyDescent="0.35">
      <c r="A30" s="15" t="s">
        <v>1624</v>
      </c>
      <c r="B30" s="8" t="s">
        <v>1625</v>
      </c>
      <c r="C30" s="8">
        <v>0</v>
      </c>
      <c r="D30" s="28" t="s">
        <v>4</v>
      </c>
      <c r="E30" s="29" t="str">
        <f t="shared" si="2"/>
        <v/>
      </c>
      <c r="F30" s="8" t="str">
        <f t="shared" ca="1" si="3"/>
        <v>Not logged</v>
      </c>
      <c r="G30" s="8" t="s">
        <v>1626</v>
      </c>
      <c r="H30" s="18" t="s">
        <v>1610</v>
      </c>
    </row>
    <row r="31" spans="1:8" x14ac:dyDescent="0.35">
      <c r="A31" s="15" t="s">
        <v>1627</v>
      </c>
      <c r="B31" s="8" t="s">
        <v>1628</v>
      </c>
      <c r="C31" s="8">
        <v>0</v>
      </c>
      <c r="D31" s="28" t="s">
        <v>4</v>
      </c>
      <c r="E31" s="29" t="str">
        <f t="shared" si="2"/>
        <v/>
      </c>
      <c r="F31" s="8" t="str">
        <f t="shared" ca="1" si="3"/>
        <v>Not logged</v>
      </c>
      <c r="G31" s="8" t="s">
        <v>1629</v>
      </c>
      <c r="H31" s="18" t="s">
        <v>1610</v>
      </c>
    </row>
    <row r="32" spans="1:8" x14ac:dyDescent="0.35">
      <c r="A32" s="15" t="s">
        <v>1630</v>
      </c>
      <c r="B32" s="8" t="s">
        <v>1631</v>
      </c>
      <c r="C32" s="8">
        <v>0</v>
      </c>
      <c r="D32" s="28" t="s">
        <v>4</v>
      </c>
      <c r="E32" s="29" t="str">
        <f t="shared" si="2"/>
        <v/>
      </c>
      <c r="F32" s="8" t="str">
        <f t="shared" ca="1" si="3"/>
        <v>Not logged</v>
      </c>
      <c r="G32" s="8" t="s">
        <v>1632</v>
      </c>
      <c r="H32" s="18" t="s">
        <v>1633</v>
      </c>
    </row>
    <row r="34" spans="1:8" ht="18.5" x14ac:dyDescent="0.45">
      <c r="A34" s="65" t="s">
        <v>1634</v>
      </c>
      <c r="B34" s="53"/>
      <c r="C34" s="53"/>
      <c r="D34" s="53"/>
      <c r="E34" s="53"/>
      <c r="F34" s="53"/>
      <c r="G34" s="53"/>
      <c r="H34" s="53"/>
    </row>
    <row r="35" spans="1:8" x14ac:dyDescent="0.35">
      <c r="A35" s="6" t="s">
        <v>1635</v>
      </c>
      <c r="B35" s="6" t="s">
        <v>1636</v>
      </c>
      <c r="C35" s="6" t="s">
        <v>1637</v>
      </c>
      <c r="D35" s="6" t="s">
        <v>4</v>
      </c>
      <c r="E35" s="6" t="s">
        <v>4</v>
      </c>
      <c r="F35" s="6" t="s">
        <v>4</v>
      </c>
      <c r="G35" s="6" t="s">
        <v>4</v>
      </c>
      <c r="H35" s="6" t="s">
        <v>4</v>
      </c>
    </row>
    <row r="36" spans="1:8" x14ac:dyDescent="0.35">
      <c r="A36" s="30" t="s">
        <v>1638</v>
      </c>
      <c r="B36" s="63" t="s">
        <v>1639</v>
      </c>
      <c r="C36" s="60"/>
      <c r="D36" s="60"/>
      <c r="E36" s="61"/>
      <c r="F36" s="64" t="s">
        <v>1640</v>
      </c>
      <c r="G36" s="60"/>
      <c r="H36" s="61"/>
    </row>
    <row r="37" spans="1:8" x14ac:dyDescent="0.35">
      <c r="A37" s="30" t="s">
        <v>1641</v>
      </c>
      <c r="B37" s="63" t="s">
        <v>1642</v>
      </c>
      <c r="C37" s="60"/>
      <c r="D37" s="60"/>
      <c r="E37" s="61"/>
      <c r="F37" s="64" t="s">
        <v>1643</v>
      </c>
      <c r="G37" s="60"/>
      <c r="H37" s="61"/>
    </row>
    <row r="38" spans="1:8" x14ac:dyDescent="0.35">
      <c r="A38" s="30" t="s">
        <v>1644</v>
      </c>
      <c r="B38" s="63" t="s">
        <v>1645</v>
      </c>
      <c r="C38" s="60"/>
      <c r="D38" s="60"/>
      <c r="E38" s="61"/>
      <c r="F38" s="64" t="s">
        <v>1646</v>
      </c>
      <c r="G38" s="60"/>
      <c r="H38" s="61"/>
    </row>
    <row r="39" spans="1:8" x14ac:dyDescent="0.35">
      <c r="A39" s="30" t="s">
        <v>1647</v>
      </c>
      <c r="B39" s="63" t="s">
        <v>1648</v>
      </c>
      <c r="C39" s="60"/>
      <c r="D39" s="60"/>
      <c r="E39" s="61"/>
      <c r="F39" s="64" t="s">
        <v>1649</v>
      </c>
      <c r="G39" s="60"/>
      <c r="H39" s="61"/>
    </row>
    <row r="40" spans="1:8" x14ac:dyDescent="0.35">
      <c r="A40" s="30" t="s">
        <v>1650</v>
      </c>
      <c r="B40" s="63" t="s">
        <v>1651</v>
      </c>
      <c r="C40" s="60"/>
      <c r="D40" s="60"/>
      <c r="E40" s="61"/>
      <c r="F40" s="64" t="s">
        <v>1652</v>
      </c>
      <c r="G40" s="60"/>
      <c r="H40" s="61"/>
    </row>
    <row r="41" spans="1:8" x14ac:dyDescent="0.35">
      <c r="A41" s="30" t="s">
        <v>1653</v>
      </c>
      <c r="B41" s="63" t="s">
        <v>1654</v>
      </c>
      <c r="C41" s="60"/>
      <c r="D41" s="60"/>
      <c r="E41" s="61"/>
      <c r="F41" s="64" t="s">
        <v>1655</v>
      </c>
      <c r="G41" s="60"/>
      <c r="H41" s="61"/>
    </row>
    <row r="42" spans="1:8" x14ac:dyDescent="0.35">
      <c r="A42" s="30" t="s">
        <v>1656</v>
      </c>
      <c r="B42" s="63" t="s">
        <v>1657</v>
      </c>
      <c r="C42" s="60"/>
      <c r="D42" s="60"/>
      <c r="E42" s="61"/>
      <c r="F42" s="64" t="s">
        <v>1658</v>
      </c>
      <c r="G42" s="60"/>
      <c r="H42" s="61"/>
    </row>
    <row r="43" spans="1:8" x14ac:dyDescent="0.35">
      <c r="A43" s="30" t="s">
        <v>1659</v>
      </c>
      <c r="B43" s="63" t="s">
        <v>1660</v>
      </c>
      <c r="C43" s="60"/>
      <c r="D43" s="60"/>
      <c r="E43" s="61"/>
      <c r="F43" s="64" t="s">
        <v>1661</v>
      </c>
      <c r="G43" s="60"/>
      <c r="H43" s="61"/>
    </row>
    <row r="44" spans="1:8" x14ac:dyDescent="0.35">
      <c r="A44" s="30" t="s">
        <v>1662</v>
      </c>
      <c r="B44" s="63" t="s">
        <v>1663</v>
      </c>
      <c r="C44" s="60"/>
      <c r="D44" s="60"/>
      <c r="E44" s="61"/>
      <c r="F44" s="64" t="s">
        <v>1664</v>
      </c>
      <c r="G44" s="60"/>
      <c r="H44" s="61"/>
    </row>
    <row r="45" spans="1:8" x14ac:dyDescent="0.35">
      <c r="A45" s="30" t="s">
        <v>1665</v>
      </c>
      <c r="B45" s="63" t="s">
        <v>1666</v>
      </c>
      <c r="C45" s="60"/>
      <c r="D45" s="60"/>
      <c r="E45" s="61"/>
      <c r="F45" s="64" t="s">
        <v>1667</v>
      </c>
      <c r="G45" s="60"/>
      <c r="H45" s="61"/>
    </row>
  </sheetData>
  <mergeCells count="23">
    <mergeCell ref="A23:H23"/>
    <mergeCell ref="B42:E42"/>
    <mergeCell ref="A4:H4"/>
    <mergeCell ref="B38:E38"/>
    <mergeCell ref="B44:E44"/>
    <mergeCell ref="F40:H40"/>
    <mergeCell ref="B37:E37"/>
    <mergeCell ref="A34:H34"/>
    <mergeCell ref="B40:E40"/>
    <mergeCell ref="F42:H42"/>
    <mergeCell ref="F36:H36"/>
    <mergeCell ref="F45:H45"/>
    <mergeCell ref="F41:H41"/>
    <mergeCell ref="B36:E36"/>
    <mergeCell ref="F38:H38"/>
    <mergeCell ref="B45:E45"/>
    <mergeCell ref="B41:E41"/>
    <mergeCell ref="F43:H43"/>
    <mergeCell ref="F39:H39"/>
    <mergeCell ref="F37:H37"/>
    <mergeCell ref="B43:E43"/>
    <mergeCell ref="B39:E39"/>
    <mergeCell ref="F44:H44"/>
  </mergeCells>
  <conditionalFormatting sqref="F6:F21">
    <cfRule type="expression" dxfId="5" priority="1">
      <formula>$F6="DUE NOW"</formula>
    </cfRule>
    <cfRule type="expression" dxfId="4" priority="2">
      <formula>$F6="Due &lt;60d"</formula>
    </cfRule>
    <cfRule type="expression" dxfId="3" priority="3">
      <formula>$F6="OK"</formula>
    </cfRule>
  </conditionalFormatting>
  <conditionalFormatting sqref="F25:F32">
    <cfRule type="expression" dxfId="2" priority="4">
      <formula>$F25="DUE NOW"</formula>
    </cfRule>
    <cfRule type="expression" dxfId="1" priority="5">
      <formula>$F25="Due &lt;60d"</formula>
    </cfRule>
    <cfRule type="expression" dxfId="0" priority="6">
      <formula>$F25="OK"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62"/>
  <sheetViews>
    <sheetView workbookViewId="0"/>
  </sheetViews>
  <sheetFormatPr defaultRowHeight="14.5" x14ac:dyDescent="0.35"/>
  <cols>
    <col min="1" max="1" width="65.54296875" customWidth="1"/>
    <col min="2" max="2" width="26" customWidth="1"/>
    <col min="3" max="3" width="28.6328125" customWidth="1"/>
    <col min="4" max="4" width="50" customWidth="1"/>
    <col min="5" max="5" width="22" customWidth="1"/>
    <col min="6" max="6" width="35" customWidth="1"/>
    <col min="11" max="12" width="20" customWidth="1"/>
  </cols>
  <sheetData>
    <row r="1" spans="1:12" ht="23.5" x14ac:dyDescent="0.55000000000000004">
      <c r="A1" s="111" t="s">
        <v>1668</v>
      </c>
      <c r="B1" s="126"/>
      <c r="C1" s="126"/>
      <c r="D1" s="126"/>
      <c r="E1" s="126"/>
      <c r="F1" s="126"/>
      <c r="K1" s="47" t="s">
        <v>1</v>
      </c>
      <c r="L1" s="48" t="s">
        <v>2</v>
      </c>
    </row>
    <row r="2" spans="1:12" ht="23.5" x14ac:dyDescent="0.55000000000000004">
      <c r="A2" s="112" t="s">
        <v>1669</v>
      </c>
      <c r="B2" s="126"/>
      <c r="C2" s="126"/>
      <c r="D2" s="126"/>
      <c r="E2" s="126"/>
      <c r="F2" s="126"/>
    </row>
    <row r="3" spans="1:12" ht="23.5" x14ac:dyDescent="0.55000000000000004">
      <c r="A3" s="126"/>
      <c r="B3" s="126"/>
      <c r="C3" s="126"/>
      <c r="D3" s="126"/>
      <c r="E3" s="126"/>
      <c r="F3" s="126"/>
    </row>
    <row r="4" spans="1:12" ht="23.5" x14ac:dyDescent="0.55000000000000004">
      <c r="A4" s="127" t="s">
        <v>1670</v>
      </c>
      <c r="B4" s="128"/>
      <c r="C4" s="128"/>
      <c r="D4" s="128"/>
      <c r="E4" s="128"/>
      <c r="F4" s="128"/>
    </row>
    <row r="5" spans="1:12" ht="23.5" x14ac:dyDescent="0.35">
      <c r="A5" s="129" t="s">
        <v>1671</v>
      </c>
      <c r="B5" s="129" t="s">
        <v>665</v>
      </c>
      <c r="C5" s="129" t="s">
        <v>903</v>
      </c>
      <c r="D5" s="129" t="s">
        <v>119</v>
      </c>
      <c r="E5" s="129" t="s">
        <v>122</v>
      </c>
      <c r="F5" s="129" t="s">
        <v>121</v>
      </c>
    </row>
    <row r="6" spans="1:12" ht="47" x14ac:dyDescent="0.35">
      <c r="A6" s="130" t="s">
        <v>1672</v>
      </c>
      <c r="B6" s="131" t="s">
        <v>1673</v>
      </c>
      <c r="C6" s="131" t="s">
        <v>1674</v>
      </c>
      <c r="D6" s="131" t="s">
        <v>1675</v>
      </c>
      <c r="E6" s="131" t="s">
        <v>131</v>
      </c>
      <c r="F6" s="131" t="s">
        <v>1676</v>
      </c>
    </row>
    <row r="7" spans="1:12" ht="70.5" x14ac:dyDescent="0.35">
      <c r="A7" s="130" t="s">
        <v>1677</v>
      </c>
      <c r="B7" s="131" t="s">
        <v>1678</v>
      </c>
      <c r="C7" s="131" t="s">
        <v>1679</v>
      </c>
      <c r="D7" s="131" t="s">
        <v>1680</v>
      </c>
      <c r="E7" s="131" t="s">
        <v>1681</v>
      </c>
      <c r="F7" s="131" t="s">
        <v>1682</v>
      </c>
    </row>
    <row r="8" spans="1:12" ht="70.5" x14ac:dyDescent="0.35">
      <c r="A8" s="130" t="s">
        <v>1683</v>
      </c>
      <c r="B8" s="131" t="s">
        <v>1684</v>
      </c>
      <c r="C8" s="131" t="s">
        <v>1685</v>
      </c>
      <c r="D8" s="131" t="s">
        <v>1686</v>
      </c>
      <c r="E8" s="131" t="s">
        <v>1687</v>
      </c>
      <c r="F8" s="131" t="s">
        <v>1688</v>
      </c>
    </row>
    <row r="9" spans="1:12" ht="70.5" x14ac:dyDescent="0.35">
      <c r="A9" s="130" t="s">
        <v>1689</v>
      </c>
      <c r="B9" s="131" t="s">
        <v>1690</v>
      </c>
      <c r="C9" s="131" t="s">
        <v>1691</v>
      </c>
      <c r="D9" s="131" t="s">
        <v>1692</v>
      </c>
      <c r="E9" s="131" t="s">
        <v>1681</v>
      </c>
      <c r="F9" s="131" t="s">
        <v>1693</v>
      </c>
    </row>
    <row r="10" spans="1:12" ht="70.5" x14ac:dyDescent="0.35">
      <c r="A10" s="130" t="s">
        <v>1694</v>
      </c>
      <c r="B10" s="131" t="s">
        <v>1695</v>
      </c>
      <c r="C10" s="131" t="s">
        <v>1696</v>
      </c>
      <c r="D10" s="131" t="s">
        <v>1697</v>
      </c>
      <c r="E10" s="131" t="s">
        <v>1681</v>
      </c>
      <c r="F10" s="131" t="s">
        <v>1698</v>
      </c>
    </row>
    <row r="11" spans="1:12" ht="94" x14ac:dyDescent="0.35">
      <c r="A11" s="130" t="s">
        <v>1699</v>
      </c>
      <c r="B11" s="131" t="s">
        <v>1700</v>
      </c>
      <c r="C11" s="131" t="s">
        <v>1701</v>
      </c>
      <c r="D11" s="131" t="s">
        <v>1702</v>
      </c>
      <c r="E11" s="131" t="s">
        <v>1703</v>
      </c>
      <c r="F11" s="131" t="s">
        <v>1704</v>
      </c>
    </row>
    <row r="12" spans="1:12" ht="47" x14ac:dyDescent="0.35">
      <c r="A12" s="130" t="s">
        <v>1705</v>
      </c>
      <c r="B12" s="131" t="s">
        <v>1706</v>
      </c>
      <c r="C12" s="131" t="s">
        <v>1707</v>
      </c>
      <c r="D12" s="131" t="s">
        <v>1708</v>
      </c>
      <c r="E12" s="131" t="s">
        <v>1681</v>
      </c>
      <c r="F12" s="131" t="s">
        <v>1709</v>
      </c>
    </row>
    <row r="13" spans="1:12" ht="70.5" x14ac:dyDescent="0.35">
      <c r="A13" s="130" t="s">
        <v>948</v>
      </c>
      <c r="B13" s="131" t="s">
        <v>1710</v>
      </c>
      <c r="C13" s="131" t="s">
        <v>1711</v>
      </c>
      <c r="D13" s="131" t="s">
        <v>1712</v>
      </c>
      <c r="E13" s="131" t="s">
        <v>1681</v>
      </c>
      <c r="F13" s="131" t="s">
        <v>1713</v>
      </c>
    </row>
    <row r="14" spans="1:12" ht="94" x14ac:dyDescent="0.35">
      <c r="A14" s="130" t="s">
        <v>1714</v>
      </c>
      <c r="B14" s="131" t="s">
        <v>1715</v>
      </c>
      <c r="C14" s="131" t="s">
        <v>1716</v>
      </c>
      <c r="D14" s="131" t="s">
        <v>1717</v>
      </c>
      <c r="E14" s="131" t="s">
        <v>131</v>
      </c>
      <c r="F14" s="131" t="s">
        <v>1718</v>
      </c>
    </row>
    <row r="15" spans="1:12" ht="70.5" x14ac:dyDescent="0.35">
      <c r="A15" s="130" t="s">
        <v>1719</v>
      </c>
      <c r="B15" s="131" t="s">
        <v>1720</v>
      </c>
      <c r="C15" s="131" t="s">
        <v>1721</v>
      </c>
      <c r="D15" s="131" t="s">
        <v>1722</v>
      </c>
      <c r="E15" s="131" t="s">
        <v>131</v>
      </c>
      <c r="F15" s="131" t="s">
        <v>1723</v>
      </c>
    </row>
    <row r="16" spans="1:12" ht="23.5" x14ac:dyDescent="0.55000000000000004">
      <c r="A16" s="126"/>
      <c r="B16" s="126"/>
      <c r="C16" s="126"/>
      <c r="D16" s="126"/>
      <c r="E16" s="126"/>
      <c r="F16" s="126"/>
    </row>
    <row r="17" spans="1:6" ht="23.5" x14ac:dyDescent="0.55000000000000004">
      <c r="A17" s="127" t="s">
        <v>1724</v>
      </c>
      <c r="B17" s="128"/>
      <c r="C17" s="128"/>
      <c r="D17" s="128"/>
      <c r="E17" s="128"/>
      <c r="F17" s="128"/>
    </row>
    <row r="18" spans="1:6" ht="23.5" x14ac:dyDescent="0.35">
      <c r="A18" s="129" t="s">
        <v>1725</v>
      </c>
      <c r="B18" s="129" t="s">
        <v>1726</v>
      </c>
      <c r="C18" s="129" t="s">
        <v>1727</v>
      </c>
      <c r="D18" s="129" t="s">
        <v>1728</v>
      </c>
      <c r="E18" s="129" t="s">
        <v>1729</v>
      </c>
      <c r="F18" s="129" t="s">
        <v>121</v>
      </c>
    </row>
    <row r="19" spans="1:6" ht="23.5" x14ac:dyDescent="0.55000000000000004">
      <c r="A19" s="132" t="s">
        <v>1730</v>
      </c>
      <c r="B19" s="133" t="s">
        <v>4</v>
      </c>
      <c r="C19" s="133" t="s">
        <v>4</v>
      </c>
      <c r="D19" s="133" t="s">
        <v>4</v>
      </c>
      <c r="E19" s="133" t="s">
        <v>4</v>
      </c>
      <c r="F19" s="133" t="s">
        <v>4</v>
      </c>
    </row>
    <row r="20" spans="1:6" ht="23.5" x14ac:dyDescent="0.55000000000000004">
      <c r="A20" s="132" t="s">
        <v>1731</v>
      </c>
      <c r="B20" s="133" t="s">
        <v>4</v>
      </c>
      <c r="C20" s="133" t="s">
        <v>4</v>
      </c>
      <c r="D20" s="133" t="s">
        <v>4</v>
      </c>
      <c r="E20" s="133" t="s">
        <v>4</v>
      </c>
      <c r="F20" s="133" t="s">
        <v>4</v>
      </c>
    </row>
    <row r="21" spans="1:6" ht="23.5" x14ac:dyDescent="0.55000000000000004">
      <c r="A21" s="132" t="s">
        <v>1732</v>
      </c>
      <c r="B21" s="133" t="s">
        <v>4</v>
      </c>
      <c r="C21" s="133" t="s">
        <v>4</v>
      </c>
      <c r="D21" s="133" t="s">
        <v>4</v>
      </c>
      <c r="E21" s="133" t="s">
        <v>4</v>
      </c>
      <c r="F21" s="133" t="s">
        <v>4</v>
      </c>
    </row>
    <row r="22" spans="1:6" ht="23.5" x14ac:dyDescent="0.55000000000000004">
      <c r="A22" s="132" t="s">
        <v>1733</v>
      </c>
      <c r="B22" s="133" t="s">
        <v>4</v>
      </c>
      <c r="C22" s="133" t="s">
        <v>4</v>
      </c>
      <c r="D22" s="133" t="s">
        <v>4</v>
      </c>
      <c r="E22" s="133" t="s">
        <v>4</v>
      </c>
      <c r="F22" s="133" t="s">
        <v>4</v>
      </c>
    </row>
    <row r="23" spans="1:6" ht="23.5" x14ac:dyDescent="0.55000000000000004">
      <c r="A23" s="132" t="s">
        <v>1734</v>
      </c>
      <c r="B23" s="133" t="s">
        <v>4</v>
      </c>
      <c r="C23" s="133" t="s">
        <v>4</v>
      </c>
      <c r="D23" s="133" t="s">
        <v>4</v>
      </c>
      <c r="E23" s="133" t="s">
        <v>4</v>
      </c>
      <c r="F23" s="133" t="s">
        <v>4</v>
      </c>
    </row>
    <row r="24" spans="1:6" ht="23.5" x14ac:dyDescent="0.55000000000000004">
      <c r="A24" s="132" t="s">
        <v>1735</v>
      </c>
      <c r="B24" s="133" t="s">
        <v>4</v>
      </c>
      <c r="C24" s="133" t="s">
        <v>4</v>
      </c>
      <c r="D24" s="133" t="s">
        <v>4</v>
      </c>
      <c r="E24" s="133" t="s">
        <v>4</v>
      </c>
      <c r="F24" s="133" t="s">
        <v>4</v>
      </c>
    </row>
    <row r="25" spans="1:6" ht="23.5" x14ac:dyDescent="0.55000000000000004">
      <c r="A25" s="132" t="s">
        <v>1736</v>
      </c>
      <c r="B25" s="133" t="s">
        <v>4</v>
      </c>
      <c r="C25" s="133" t="s">
        <v>4</v>
      </c>
      <c r="D25" s="133" t="s">
        <v>4</v>
      </c>
      <c r="E25" s="133" t="s">
        <v>4</v>
      </c>
      <c r="F25" s="133" t="s">
        <v>4</v>
      </c>
    </row>
    <row r="26" spans="1:6" ht="23.5" x14ac:dyDescent="0.55000000000000004">
      <c r="A26" s="132" t="s">
        <v>1737</v>
      </c>
      <c r="B26" s="133" t="s">
        <v>4</v>
      </c>
      <c r="C26" s="133" t="s">
        <v>4</v>
      </c>
      <c r="D26" s="133" t="s">
        <v>4</v>
      </c>
      <c r="E26" s="133" t="s">
        <v>4</v>
      </c>
      <c r="F26" s="133" t="s">
        <v>4</v>
      </c>
    </row>
    <row r="27" spans="1:6" ht="23.5" x14ac:dyDescent="0.55000000000000004">
      <c r="A27" s="132" t="s">
        <v>1738</v>
      </c>
      <c r="B27" s="133" t="s">
        <v>4</v>
      </c>
      <c r="C27" s="133" t="s">
        <v>4</v>
      </c>
      <c r="D27" s="133" t="s">
        <v>4</v>
      </c>
      <c r="E27" s="133" t="s">
        <v>4</v>
      </c>
      <c r="F27" s="133" t="s">
        <v>4</v>
      </c>
    </row>
    <row r="28" spans="1:6" ht="23.5" x14ac:dyDescent="0.55000000000000004">
      <c r="A28" s="132" t="s">
        <v>1739</v>
      </c>
      <c r="B28" s="133" t="s">
        <v>4</v>
      </c>
      <c r="C28" s="133" t="s">
        <v>4</v>
      </c>
      <c r="D28" s="133" t="s">
        <v>4</v>
      </c>
      <c r="E28" s="133" t="s">
        <v>4</v>
      </c>
      <c r="F28" s="133" t="s">
        <v>4</v>
      </c>
    </row>
    <row r="29" spans="1:6" ht="23.5" x14ac:dyDescent="0.55000000000000004">
      <c r="A29" s="132" t="s">
        <v>1740</v>
      </c>
      <c r="B29" s="133" t="s">
        <v>4</v>
      </c>
      <c r="C29" s="133" t="s">
        <v>4</v>
      </c>
      <c r="D29" s="133" t="s">
        <v>4</v>
      </c>
      <c r="E29" s="133" t="s">
        <v>4</v>
      </c>
      <c r="F29" s="133" t="s">
        <v>4</v>
      </c>
    </row>
    <row r="30" spans="1:6" ht="23.5" x14ac:dyDescent="0.55000000000000004">
      <c r="A30" s="132" t="s">
        <v>1741</v>
      </c>
      <c r="B30" s="133" t="s">
        <v>4</v>
      </c>
      <c r="C30" s="133" t="s">
        <v>4</v>
      </c>
      <c r="D30" s="133" t="s">
        <v>4</v>
      </c>
      <c r="E30" s="133" t="s">
        <v>4</v>
      </c>
      <c r="F30" s="133" t="s">
        <v>4</v>
      </c>
    </row>
    <row r="31" spans="1:6" ht="23.5" x14ac:dyDescent="0.55000000000000004">
      <c r="A31" s="132" t="s">
        <v>1742</v>
      </c>
      <c r="B31" s="133" t="s">
        <v>4</v>
      </c>
      <c r="C31" s="133" t="s">
        <v>4</v>
      </c>
      <c r="D31" s="133" t="s">
        <v>4</v>
      </c>
      <c r="E31" s="133" t="s">
        <v>4</v>
      </c>
      <c r="F31" s="133" t="s">
        <v>4</v>
      </c>
    </row>
    <row r="32" spans="1:6" ht="23.5" x14ac:dyDescent="0.55000000000000004">
      <c r="A32" s="132" t="s">
        <v>1743</v>
      </c>
      <c r="B32" s="133" t="s">
        <v>4</v>
      </c>
      <c r="C32" s="133" t="s">
        <v>4</v>
      </c>
      <c r="D32" s="133" t="s">
        <v>4</v>
      </c>
      <c r="E32" s="133" t="s">
        <v>4</v>
      </c>
      <c r="F32" s="133" t="s">
        <v>4</v>
      </c>
    </row>
    <row r="33" spans="1:6" ht="23.5" x14ac:dyDescent="0.55000000000000004">
      <c r="A33" s="134" t="s">
        <v>1744</v>
      </c>
      <c r="B33" s="135"/>
      <c r="C33" s="135"/>
      <c r="D33" s="136" t="str">
        <f>IFERROR(AVERAGE(D19:D32),"—")</f>
        <v>—</v>
      </c>
      <c r="E33" s="136" t="str">
        <f>IFERROR(AVERAGE(E19:E32),"—")</f>
        <v>—</v>
      </c>
      <c r="F33" s="135"/>
    </row>
    <row r="34" spans="1:6" ht="23.5" x14ac:dyDescent="0.55000000000000004">
      <c r="A34" s="126"/>
      <c r="B34" s="126"/>
      <c r="C34" s="126"/>
      <c r="D34" s="126"/>
      <c r="E34" s="126"/>
      <c r="F34" s="126"/>
    </row>
    <row r="35" spans="1:6" ht="23.5" x14ac:dyDescent="0.55000000000000004">
      <c r="A35" s="127" t="s">
        <v>1745</v>
      </c>
      <c r="B35" s="128"/>
      <c r="C35" s="128"/>
      <c r="D35" s="128"/>
      <c r="E35" s="128"/>
      <c r="F35" s="128"/>
    </row>
    <row r="36" spans="1:6" ht="23.5" x14ac:dyDescent="0.35">
      <c r="A36" s="129" t="s">
        <v>1671</v>
      </c>
      <c r="B36" s="129" t="s">
        <v>665</v>
      </c>
      <c r="C36" s="129" t="s">
        <v>903</v>
      </c>
      <c r="D36" s="129" t="s">
        <v>119</v>
      </c>
      <c r="E36" s="129" t="s">
        <v>122</v>
      </c>
      <c r="F36" s="129" t="s">
        <v>755</v>
      </c>
    </row>
    <row r="37" spans="1:6" ht="70.5" x14ac:dyDescent="0.35">
      <c r="A37" s="130" t="s">
        <v>905</v>
      </c>
      <c r="B37" s="131" t="s">
        <v>1746</v>
      </c>
      <c r="C37" s="131" t="s">
        <v>1747</v>
      </c>
      <c r="D37" s="131" t="s">
        <v>1748</v>
      </c>
      <c r="E37" s="131" t="s">
        <v>340</v>
      </c>
      <c r="F37" s="131" t="s">
        <v>1749</v>
      </c>
    </row>
    <row r="38" spans="1:6" ht="47" x14ac:dyDescent="0.35">
      <c r="A38" s="130" t="s">
        <v>116</v>
      </c>
      <c r="B38" s="131" t="s">
        <v>1750</v>
      </c>
      <c r="C38" s="131" t="s">
        <v>1751</v>
      </c>
      <c r="D38" s="131" t="s">
        <v>1752</v>
      </c>
      <c r="E38" s="131" t="s">
        <v>340</v>
      </c>
      <c r="F38" s="131" t="s">
        <v>1753</v>
      </c>
    </row>
    <row r="39" spans="1:6" ht="70.5" x14ac:dyDescent="0.35">
      <c r="A39" s="130" t="s">
        <v>1754</v>
      </c>
      <c r="B39" s="131" t="s">
        <v>1755</v>
      </c>
      <c r="C39" s="131" t="s">
        <v>1756</v>
      </c>
      <c r="D39" s="131" t="s">
        <v>1757</v>
      </c>
      <c r="E39" s="131" t="s">
        <v>340</v>
      </c>
      <c r="F39" s="131" t="s">
        <v>1758</v>
      </c>
    </row>
    <row r="40" spans="1:6" ht="70.5" x14ac:dyDescent="0.35">
      <c r="A40" s="130" t="s">
        <v>1759</v>
      </c>
      <c r="B40" s="131" t="s">
        <v>1760</v>
      </c>
      <c r="C40" s="131" t="s">
        <v>1761</v>
      </c>
      <c r="D40" s="131" t="s">
        <v>1762</v>
      </c>
      <c r="E40" s="131" t="s">
        <v>1536</v>
      </c>
      <c r="F40" s="131" t="s">
        <v>1763</v>
      </c>
    </row>
    <row r="41" spans="1:6" ht="47" x14ac:dyDescent="0.35">
      <c r="A41" s="130" t="s">
        <v>1764</v>
      </c>
      <c r="B41" s="131" t="s">
        <v>1765</v>
      </c>
      <c r="C41" s="131" t="s">
        <v>1251</v>
      </c>
      <c r="D41" s="131" t="s">
        <v>1766</v>
      </c>
      <c r="E41" s="131" t="s">
        <v>1536</v>
      </c>
      <c r="F41" s="131" t="s">
        <v>1767</v>
      </c>
    </row>
    <row r="42" spans="1:6" ht="23.5" x14ac:dyDescent="0.55000000000000004">
      <c r="A42" s="126"/>
      <c r="B42" s="126"/>
      <c r="C42" s="126"/>
      <c r="D42" s="126"/>
      <c r="E42" s="126"/>
      <c r="F42" s="126"/>
    </row>
    <row r="43" spans="1:6" ht="23.5" x14ac:dyDescent="0.55000000000000004">
      <c r="A43" s="127" t="s">
        <v>1768</v>
      </c>
      <c r="B43" s="128"/>
      <c r="C43" s="128"/>
      <c r="D43" s="128"/>
      <c r="E43" s="128"/>
      <c r="F43" s="128"/>
    </row>
    <row r="44" spans="1:6" ht="23.5" x14ac:dyDescent="0.35">
      <c r="A44" s="129" t="s">
        <v>1671</v>
      </c>
      <c r="B44" s="129" t="s">
        <v>665</v>
      </c>
      <c r="C44" s="129" t="s">
        <v>903</v>
      </c>
      <c r="D44" s="129" t="s">
        <v>119</v>
      </c>
      <c r="E44" s="129" t="s">
        <v>122</v>
      </c>
      <c r="F44" s="129" t="s">
        <v>755</v>
      </c>
    </row>
    <row r="45" spans="1:6" ht="70.5" x14ac:dyDescent="0.35">
      <c r="A45" s="130" t="s">
        <v>1769</v>
      </c>
      <c r="B45" s="131" t="s">
        <v>1770</v>
      </c>
      <c r="C45" s="131" t="s">
        <v>1771</v>
      </c>
      <c r="D45" s="131" t="s">
        <v>1772</v>
      </c>
      <c r="E45" s="131" t="s">
        <v>478</v>
      </c>
      <c r="F45" s="131" t="s">
        <v>1773</v>
      </c>
    </row>
    <row r="46" spans="1:6" ht="47" x14ac:dyDescent="0.35">
      <c r="A46" s="130" t="s">
        <v>1754</v>
      </c>
      <c r="B46" s="131" t="s">
        <v>1774</v>
      </c>
      <c r="C46" s="131" t="s">
        <v>1775</v>
      </c>
      <c r="D46" s="131" t="s">
        <v>1776</v>
      </c>
      <c r="E46" s="131" t="s">
        <v>478</v>
      </c>
      <c r="F46" s="131" t="s">
        <v>1777</v>
      </c>
    </row>
    <row r="47" spans="1:6" ht="47" x14ac:dyDescent="0.35">
      <c r="A47" s="130" t="s">
        <v>1778</v>
      </c>
      <c r="B47" s="131" t="s">
        <v>1779</v>
      </c>
      <c r="C47" s="131" t="s">
        <v>1780</v>
      </c>
      <c r="D47" s="131" t="s">
        <v>1781</v>
      </c>
      <c r="E47" s="131" t="s">
        <v>1782</v>
      </c>
      <c r="F47" s="131" t="s">
        <v>1783</v>
      </c>
    </row>
    <row r="48" spans="1:6" ht="47" x14ac:dyDescent="0.35">
      <c r="A48" s="130" t="s">
        <v>1784</v>
      </c>
      <c r="B48" s="131" t="s">
        <v>1785</v>
      </c>
      <c r="C48" s="131" t="s">
        <v>1786</v>
      </c>
      <c r="D48" s="131" t="s">
        <v>1787</v>
      </c>
      <c r="E48" s="131" t="s">
        <v>1536</v>
      </c>
      <c r="F48" s="131" t="s">
        <v>1788</v>
      </c>
    </row>
    <row r="49" spans="1:6" ht="70.5" x14ac:dyDescent="0.35">
      <c r="A49" s="130" t="s">
        <v>1789</v>
      </c>
      <c r="B49" s="131" t="s">
        <v>1790</v>
      </c>
      <c r="C49" s="131" t="s">
        <v>1791</v>
      </c>
      <c r="D49" s="131" t="s">
        <v>1792</v>
      </c>
      <c r="E49" s="131" t="s">
        <v>1536</v>
      </c>
      <c r="F49" s="131" t="s">
        <v>1793</v>
      </c>
    </row>
    <row r="50" spans="1:6" ht="23.5" x14ac:dyDescent="0.55000000000000004">
      <c r="A50" s="126"/>
      <c r="B50" s="126"/>
      <c r="C50" s="126"/>
      <c r="D50" s="126"/>
      <c r="E50" s="126"/>
      <c r="F50" s="126"/>
    </row>
    <row r="51" spans="1:6" ht="23.5" x14ac:dyDescent="0.55000000000000004">
      <c r="A51" s="127" t="s">
        <v>1794</v>
      </c>
      <c r="B51" s="128"/>
      <c r="C51" s="128"/>
      <c r="D51" s="128"/>
      <c r="E51" s="128"/>
      <c r="F51" s="128"/>
    </row>
    <row r="52" spans="1:6" ht="23.5" x14ac:dyDescent="0.35">
      <c r="A52" s="129" t="s">
        <v>527</v>
      </c>
      <c r="B52" s="129" t="s">
        <v>1795</v>
      </c>
      <c r="C52" s="129" t="s">
        <v>1796</v>
      </c>
      <c r="D52" s="129" t="s">
        <v>1797</v>
      </c>
      <c r="E52" s="129" t="s">
        <v>1798</v>
      </c>
      <c r="F52" s="129" t="s">
        <v>121</v>
      </c>
    </row>
    <row r="53" spans="1:6" ht="23.5" x14ac:dyDescent="0.55000000000000004">
      <c r="A53" s="132" t="s">
        <v>198</v>
      </c>
      <c r="B53" s="137" t="s">
        <v>4</v>
      </c>
      <c r="C53" s="137" t="s">
        <v>4</v>
      </c>
      <c r="D53" s="137" t="s">
        <v>4</v>
      </c>
      <c r="E53" s="137" t="s">
        <v>4</v>
      </c>
      <c r="F53" s="137" t="s">
        <v>4</v>
      </c>
    </row>
    <row r="54" spans="1:6" ht="23.5" x14ac:dyDescent="0.55000000000000004">
      <c r="A54" s="132" t="s">
        <v>199</v>
      </c>
      <c r="B54" s="137" t="s">
        <v>4</v>
      </c>
      <c r="C54" s="137" t="s">
        <v>4</v>
      </c>
      <c r="D54" s="137" t="s">
        <v>4</v>
      </c>
      <c r="E54" s="137" t="s">
        <v>4</v>
      </c>
      <c r="F54" s="137" t="s">
        <v>4</v>
      </c>
    </row>
    <row r="55" spans="1:6" ht="23.5" x14ac:dyDescent="0.55000000000000004">
      <c r="A55" s="132" t="s">
        <v>1799</v>
      </c>
      <c r="B55" s="137" t="s">
        <v>4</v>
      </c>
      <c r="C55" s="137" t="s">
        <v>4</v>
      </c>
      <c r="D55" s="137" t="s">
        <v>4</v>
      </c>
      <c r="E55" s="137" t="s">
        <v>4</v>
      </c>
      <c r="F55" s="137" t="s">
        <v>4</v>
      </c>
    </row>
    <row r="56" spans="1:6" ht="23.5" x14ac:dyDescent="0.55000000000000004">
      <c r="A56" s="132" t="s">
        <v>1800</v>
      </c>
      <c r="B56" s="137" t="s">
        <v>4</v>
      </c>
      <c r="C56" s="137" t="s">
        <v>4</v>
      </c>
      <c r="D56" s="137" t="s">
        <v>4</v>
      </c>
      <c r="E56" s="137" t="s">
        <v>4</v>
      </c>
      <c r="F56" s="137" t="s">
        <v>4</v>
      </c>
    </row>
    <row r="57" spans="1:6" ht="23.5" x14ac:dyDescent="0.55000000000000004">
      <c r="A57" s="132" t="s">
        <v>1801</v>
      </c>
      <c r="B57" s="137" t="s">
        <v>4</v>
      </c>
      <c r="C57" s="137" t="s">
        <v>4</v>
      </c>
      <c r="D57" s="137" t="s">
        <v>4</v>
      </c>
      <c r="E57" s="137" t="s">
        <v>4</v>
      </c>
      <c r="F57" s="137" t="s">
        <v>4</v>
      </c>
    </row>
    <row r="58" spans="1:6" ht="23.5" x14ac:dyDescent="0.55000000000000004">
      <c r="A58" s="132" t="s">
        <v>1802</v>
      </c>
      <c r="B58" s="137" t="s">
        <v>4</v>
      </c>
      <c r="C58" s="137" t="s">
        <v>4</v>
      </c>
      <c r="D58" s="137" t="s">
        <v>4</v>
      </c>
      <c r="E58" s="137" t="s">
        <v>4</v>
      </c>
      <c r="F58" s="137" t="s">
        <v>4</v>
      </c>
    </row>
    <row r="59" spans="1:6" ht="23.5" x14ac:dyDescent="0.55000000000000004">
      <c r="A59" s="132" t="s">
        <v>1803</v>
      </c>
      <c r="B59" s="137" t="s">
        <v>4</v>
      </c>
      <c r="C59" s="137" t="s">
        <v>4</v>
      </c>
      <c r="D59" s="137" t="s">
        <v>4</v>
      </c>
      <c r="E59" s="137" t="s">
        <v>4</v>
      </c>
      <c r="F59" s="137" t="s">
        <v>4</v>
      </c>
    </row>
    <row r="60" spans="1:6" ht="23.5" x14ac:dyDescent="0.55000000000000004">
      <c r="A60" s="132" t="s">
        <v>1804</v>
      </c>
      <c r="B60" s="137" t="s">
        <v>4</v>
      </c>
      <c r="C60" s="137" t="s">
        <v>4</v>
      </c>
      <c r="D60" s="137" t="s">
        <v>4</v>
      </c>
      <c r="E60" s="137" t="s">
        <v>4</v>
      </c>
      <c r="F60" s="137" t="s">
        <v>4</v>
      </c>
    </row>
    <row r="61" spans="1:6" ht="23.5" x14ac:dyDescent="0.55000000000000004">
      <c r="A61" s="126"/>
      <c r="B61" s="126"/>
      <c r="C61" s="126"/>
      <c r="D61" s="126"/>
      <c r="E61" s="126"/>
      <c r="F61" s="126"/>
    </row>
    <row r="62" spans="1:6" ht="23.5" x14ac:dyDescent="0.55000000000000004">
      <c r="A62" s="126"/>
      <c r="B62" s="126"/>
      <c r="C62" s="126"/>
      <c r="D62" s="126"/>
      <c r="E62" s="126"/>
      <c r="F62" s="126"/>
    </row>
  </sheetData>
  <mergeCells count="5">
    <mergeCell ref="A51:F51"/>
    <mergeCell ref="A17:F17"/>
    <mergeCell ref="A35:F35"/>
    <mergeCell ref="A4:F4"/>
    <mergeCell ref="A43:F4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61"/>
  <sheetViews>
    <sheetView workbookViewId="0"/>
  </sheetViews>
  <sheetFormatPr defaultRowHeight="14.5" x14ac:dyDescent="0.35"/>
  <cols>
    <col min="1" max="1" width="26" customWidth="1"/>
    <col min="2" max="2" width="22" customWidth="1"/>
    <col min="3" max="4" width="50" customWidth="1"/>
    <col min="5" max="5" width="22" customWidth="1"/>
    <col min="11" max="12" width="20" customWidth="1"/>
  </cols>
  <sheetData>
    <row r="1" spans="1:12" ht="21" x14ac:dyDescent="0.5">
      <c r="A1" s="1" t="s">
        <v>1805</v>
      </c>
      <c r="K1" s="47" t="s">
        <v>1</v>
      </c>
      <c r="L1" s="48" t="s">
        <v>2</v>
      </c>
    </row>
    <row r="2" spans="1:12" x14ac:dyDescent="0.35">
      <c r="A2" s="2" t="s">
        <v>1806</v>
      </c>
    </row>
    <row r="4" spans="1:12" ht="15.5" x14ac:dyDescent="0.35">
      <c r="A4" s="52" t="s">
        <v>1807</v>
      </c>
      <c r="B4" s="53"/>
      <c r="C4" s="53"/>
      <c r="D4" s="53"/>
      <c r="E4" s="53"/>
    </row>
    <row r="5" spans="1:12" x14ac:dyDescent="0.35">
      <c r="A5" s="6" t="s">
        <v>1808</v>
      </c>
      <c r="B5" s="6" t="s">
        <v>114</v>
      </c>
      <c r="C5" s="6" t="s">
        <v>1809</v>
      </c>
      <c r="D5" s="6" t="s">
        <v>904</v>
      </c>
      <c r="E5" s="6" t="s">
        <v>122</v>
      </c>
    </row>
    <row r="6" spans="1:12" ht="26" x14ac:dyDescent="0.35">
      <c r="A6" s="15" t="s">
        <v>1810</v>
      </c>
      <c r="B6" s="8" t="s">
        <v>187</v>
      </c>
      <c r="C6" s="8" t="s">
        <v>1811</v>
      </c>
      <c r="D6" s="8" t="s">
        <v>1812</v>
      </c>
      <c r="E6" s="8" t="s">
        <v>1813</v>
      </c>
    </row>
    <row r="7" spans="1:12" x14ac:dyDescent="0.35">
      <c r="A7" s="15" t="s">
        <v>1814</v>
      </c>
      <c r="B7" s="8" t="s">
        <v>1815</v>
      </c>
      <c r="C7" s="8" t="s">
        <v>1816</v>
      </c>
      <c r="D7" s="8" t="s">
        <v>1817</v>
      </c>
      <c r="E7" s="8" t="s">
        <v>1813</v>
      </c>
    </row>
    <row r="8" spans="1:12" x14ac:dyDescent="0.35">
      <c r="A8" s="15" t="s">
        <v>1818</v>
      </c>
      <c r="B8" s="8" t="s">
        <v>177</v>
      </c>
      <c r="C8" s="8" t="s">
        <v>1819</v>
      </c>
      <c r="D8" s="8" t="s">
        <v>1820</v>
      </c>
      <c r="E8" s="8" t="s">
        <v>1813</v>
      </c>
    </row>
    <row r="9" spans="1:12" x14ac:dyDescent="0.35">
      <c r="A9" s="15" t="s">
        <v>1821</v>
      </c>
      <c r="B9" s="8" t="s">
        <v>61</v>
      </c>
      <c r="C9" s="8" t="s">
        <v>1822</v>
      </c>
      <c r="D9" s="8" t="s">
        <v>1823</v>
      </c>
      <c r="E9" s="8" t="s">
        <v>1813</v>
      </c>
    </row>
    <row r="10" spans="1:12" x14ac:dyDescent="0.35">
      <c r="A10" s="15" t="s">
        <v>1824</v>
      </c>
      <c r="B10" s="8" t="s">
        <v>1825</v>
      </c>
      <c r="C10" s="8" t="s">
        <v>1826</v>
      </c>
      <c r="D10" s="8" t="s">
        <v>1827</v>
      </c>
      <c r="E10" s="8" t="s">
        <v>1813</v>
      </c>
    </row>
    <row r="11" spans="1:12" x14ac:dyDescent="0.35">
      <c r="A11" s="15" t="s">
        <v>1828</v>
      </c>
      <c r="B11" s="8" t="s">
        <v>1829</v>
      </c>
      <c r="C11" s="8" t="s">
        <v>1830</v>
      </c>
      <c r="D11" s="8" t="s">
        <v>1831</v>
      </c>
      <c r="E11" s="8" t="s">
        <v>1813</v>
      </c>
    </row>
    <row r="12" spans="1:12" x14ac:dyDescent="0.35">
      <c r="A12" s="15" t="s">
        <v>1832</v>
      </c>
      <c r="B12" s="8" t="s">
        <v>1833</v>
      </c>
      <c r="C12" s="8" t="s">
        <v>1834</v>
      </c>
      <c r="D12" s="8" t="s">
        <v>1835</v>
      </c>
      <c r="E12" s="8" t="s">
        <v>1813</v>
      </c>
    </row>
    <row r="14" spans="1:12" ht="15.5" x14ac:dyDescent="0.35">
      <c r="A14" s="52" t="s">
        <v>1836</v>
      </c>
      <c r="B14" s="53"/>
      <c r="C14" s="53"/>
      <c r="D14" s="53"/>
      <c r="E14" s="53"/>
    </row>
    <row r="15" spans="1:12" x14ac:dyDescent="0.35">
      <c r="A15" s="6" t="s">
        <v>1837</v>
      </c>
      <c r="B15" s="6" t="s">
        <v>1838</v>
      </c>
      <c r="C15" s="6" t="s">
        <v>119</v>
      </c>
      <c r="D15" s="6" t="s">
        <v>904</v>
      </c>
      <c r="E15" s="6" t="s">
        <v>122</v>
      </c>
    </row>
    <row r="16" spans="1:12" x14ac:dyDescent="0.35">
      <c r="A16" s="15" t="s">
        <v>1839</v>
      </c>
      <c r="B16" s="8" t="s">
        <v>1840</v>
      </c>
      <c r="C16" s="8" t="s">
        <v>1841</v>
      </c>
      <c r="D16" s="8" t="s">
        <v>1842</v>
      </c>
      <c r="E16" s="8" t="s">
        <v>1843</v>
      </c>
    </row>
    <row r="17" spans="1:5" x14ac:dyDescent="0.35">
      <c r="A17" s="15" t="s">
        <v>1844</v>
      </c>
      <c r="B17" s="8" t="s">
        <v>1845</v>
      </c>
      <c r="C17" s="8" t="s">
        <v>1846</v>
      </c>
      <c r="D17" s="8" t="s">
        <v>1847</v>
      </c>
      <c r="E17" s="8" t="s">
        <v>1843</v>
      </c>
    </row>
    <row r="18" spans="1:5" x14ac:dyDescent="0.35">
      <c r="A18" s="15" t="s">
        <v>1848</v>
      </c>
      <c r="B18" s="8" t="s">
        <v>61</v>
      </c>
      <c r="C18" s="8" t="s">
        <v>1849</v>
      </c>
      <c r="D18" s="8" t="s">
        <v>1850</v>
      </c>
      <c r="E18" s="8" t="s">
        <v>1843</v>
      </c>
    </row>
    <row r="19" spans="1:5" x14ac:dyDescent="0.35">
      <c r="A19" s="15" t="s">
        <v>1851</v>
      </c>
      <c r="B19" s="8" t="s">
        <v>63</v>
      </c>
      <c r="C19" s="8" t="s">
        <v>1852</v>
      </c>
      <c r="D19" s="8" t="s">
        <v>1853</v>
      </c>
      <c r="E19" s="8" t="s">
        <v>1813</v>
      </c>
    </row>
    <row r="20" spans="1:5" x14ac:dyDescent="0.35">
      <c r="A20" s="15" t="s">
        <v>1854</v>
      </c>
      <c r="B20" s="8" t="s">
        <v>1829</v>
      </c>
      <c r="C20" s="8" t="s">
        <v>1855</v>
      </c>
      <c r="D20" s="8" t="s">
        <v>1856</v>
      </c>
      <c r="E20" s="8" t="s">
        <v>1813</v>
      </c>
    </row>
    <row r="21" spans="1:5" x14ac:dyDescent="0.35">
      <c r="A21" s="15" t="s">
        <v>1857</v>
      </c>
      <c r="B21" s="8" t="s">
        <v>1829</v>
      </c>
      <c r="C21" s="8" t="s">
        <v>1858</v>
      </c>
      <c r="D21" s="8" t="s">
        <v>1859</v>
      </c>
      <c r="E21" s="8" t="s">
        <v>1813</v>
      </c>
    </row>
    <row r="23" spans="1:5" ht="15.5" x14ac:dyDescent="0.35">
      <c r="A23" s="52" t="s">
        <v>1860</v>
      </c>
      <c r="B23" s="53"/>
      <c r="C23" s="53"/>
      <c r="D23" s="53"/>
      <c r="E23" s="53"/>
    </row>
    <row r="24" spans="1:5" x14ac:dyDescent="0.35">
      <c r="A24" s="6" t="s">
        <v>1861</v>
      </c>
      <c r="B24" s="6" t="s">
        <v>1862</v>
      </c>
      <c r="C24" s="6" t="s">
        <v>1863</v>
      </c>
      <c r="D24" s="6" t="s">
        <v>1864</v>
      </c>
      <c r="E24" s="6" t="s">
        <v>122</v>
      </c>
    </row>
    <row r="25" spans="1:5" x14ac:dyDescent="0.35">
      <c r="A25" s="15" t="s">
        <v>1865</v>
      </c>
      <c r="B25" s="28" t="s">
        <v>4</v>
      </c>
      <c r="C25" s="8" t="s">
        <v>1866</v>
      </c>
      <c r="D25" s="8" t="s">
        <v>1867</v>
      </c>
      <c r="E25" s="8" t="s">
        <v>1868</v>
      </c>
    </row>
    <row r="26" spans="1:5" ht="26" x14ac:dyDescent="0.35">
      <c r="A26" s="15" t="s">
        <v>1869</v>
      </c>
      <c r="B26" s="28" t="s">
        <v>4</v>
      </c>
      <c r="C26" s="8" t="s">
        <v>1870</v>
      </c>
      <c r="D26" s="8" t="s">
        <v>1871</v>
      </c>
      <c r="E26" s="8" t="s">
        <v>1577</v>
      </c>
    </row>
    <row r="27" spans="1:5" ht="26" x14ac:dyDescent="0.35">
      <c r="A27" s="15" t="s">
        <v>1872</v>
      </c>
      <c r="B27" s="28" t="s">
        <v>4</v>
      </c>
      <c r="C27" s="8" t="s">
        <v>1873</v>
      </c>
      <c r="D27" s="8" t="s">
        <v>1874</v>
      </c>
      <c r="E27" s="8" t="s">
        <v>1875</v>
      </c>
    </row>
    <row r="28" spans="1:5" x14ac:dyDescent="0.35">
      <c r="A28" s="15" t="s">
        <v>1876</v>
      </c>
      <c r="B28" s="28" t="s">
        <v>4</v>
      </c>
      <c r="C28" s="8" t="s">
        <v>1877</v>
      </c>
      <c r="D28" s="8" t="s">
        <v>1878</v>
      </c>
      <c r="E28" s="8" t="s">
        <v>1868</v>
      </c>
    </row>
    <row r="29" spans="1:5" x14ac:dyDescent="0.35">
      <c r="A29" s="15" t="s">
        <v>1879</v>
      </c>
      <c r="B29" s="28" t="s">
        <v>4</v>
      </c>
      <c r="C29" s="8" t="s">
        <v>1880</v>
      </c>
      <c r="D29" s="8" t="s">
        <v>1881</v>
      </c>
      <c r="E29" s="8" t="s">
        <v>1868</v>
      </c>
    </row>
    <row r="30" spans="1:5" x14ac:dyDescent="0.35">
      <c r="A30" s="15" t="s">
        <v>1882</v>
      </c>
      <c r="B30" s="28" t="s">
        <v>4</v>
      </c>
      <c r="C30" s="8" t="s">
        <v>1883</v>
      </c>
      <c r="D30" s="8" t="s">
        <v>1884</v>
      </c>
      <c r="E30" s="8" t="s">
        <v>1885</v>
      </c>
    </row>
    <row r="31" spans="1:5" x14ac:dyDescent="0.35">
      <c r="A31" s="15" t="s">
        <v>1886</v>
      </c>
      <c r="B31" s="28" t="s">
        <v>4</v>
      </c>
      <c r="C31" s="8" t="s">
        <v>1887</v>
      </c>
      <c r="D31" s="8" t="s">
        <v>1888</v>
      </c>
      <c r="E31" s="8" t="s">
        <v>1868</v>
      </c>
    </row>
    <row r="32" spans="1:5" x14ac:dyDescent="0.35">
      <c r="A32" s="15" t="s">
        <v>1889</v>
      </c>
      <c r="B32" s="28" t="s">
        <v>4</v>
      </c>
      <c r="C32" s="8" t="s">
        <v>1890</v>
      </c>
      <c r="D32" s="8" t="s">
        <v>1891</v>
      </c>
      <c r="E32" s="8" t="s">
        <v>1868</v>
      </c>
    </row>
    <row r="33" spans="1:5" x14ac:dyDescent="0.35">
      <c r="A33" s="15" t="s">
        <v>1892</v>
      </c>
      <c r="B33" s="28" t="s">
        <v>4</v>
      </c>
      <c r="C33" s="8" t="s">
        <v>1893</v>
      </c>
      <c r="D33" s="8" t="s">
        <v>1894</v>
      </c>
      <c r="E33" s="8" t="s">
        <v>1895</v>
      </c>
    </row>
    <row r="34" spans="1:5" x14ac:dyDescent="0.35">
      <c r="A34" s="15" t="s">
        <v>1896</v>
      </c>
      <c r="B34" s="28" t="s">
        <v>4</v>
      </c>
      <c r="C34" s="8" t="s">
        <v>1897</v>
      </c>
      <c r="D34" s="8" t="s">
        <v>1898</v>
      </c>
      <c r="E34" s="8" t="s">
        <v>1868</v>
      </c>
    </row>
    <row r="35" spans="1:5" x14ac:dyDescent="0.35">
      <c r="A35" s="15" t="s">
        <v>1899</v>
      </c>
      <c r="B35" s="28" t="s">
        <v>4</v>
      </c>
      <c r="C35" s="8" t="s">
        <v>949</v>
      </c>
      <c r="D35" s="8" t="s">
        <v>1900</v>
      </c>
      <c r="E35" s="8" t="s">
        <v>1868</v>
      </c>
    </row>
    <row r="36" spans="1:5" ht="26" x14ac:dyDescent="0.35">
      <c r="A36" s="15" t="s">
        <v>1901</v>
      </c>
      <c r="B36" s="28" t="s">
        <v>4</v>
      </c>
      <c r="C36" s="8" t="s">
        <v>1902</v>
      </c>
      <c r="D36" s="8" t="s">
        <v>1903</v>
      </c>
      <c r="E36" s="8" t="s">
        <v>1904</v>
      </c>
    </row>
    <row r="37" spans="1:5" x14ac:dyDescent="0.35">
      <c r="A37" s="15" t="s">
        <v>1905</v>
      </c>
      <c r="B37" s="28" t="s">
        <v>4</v>
      </c>
      <c r="C37" s="8" t="s">
        <v>1906</v>
      </c>
      <c r="D37" s="8" t="s">
        <v>1907</v>
      </c>
      <c r="E37" s="8" t="s">
        <v>1868</v>
      </c>
    </row>
    <row r="38" spans="1:5" x14ac:dyDescent="0.35">
      <c r="A38" s="15" t="s">
        <v>1908</v>
      </c>
      <c r="B38" s="28" t="s">
        <v>4</v>
      </c>
      <c r="C38" s="8" t="s">
        <v>1909</v>
      </c>
      <c r="D38" s="8" t="s">
        <v>1910</v>
      </c>
      <c r="E38" s="8" t="s">
        <v>1868</v>
      </c>
    </row>
    <row r="40" spans="1:5" ht="15.5" x14ac:dyDescent="0.35">
      <c r="A40" s="52" t="s">
        <v>1911</v>
      </c>
      <c r="B40" s="53"/>
      <c r="C40" s="53"/>
      <c r="D40" s="53"/>
      <c r="E40" s="53"/>
    </row>
    <row r="41" spans="1:5" x14ac:dyDescent="0.35">
      <c r="A41" s="6" t="s">
        <v>1912</v>
      </c>
      <c r="B41" s="6" t="s">
        <v>665</v>
      </c>
      <c r="C41" s="6" t="s">
        <v>903</v>
      </c>
      <c r="D41" s="6" t="s">
        <v>119</v>
      </c>
      <c r="E41" s="6" t="s">
        <v>122</v>
      </c>
    </row>
    <row r="42" spans="1:5" ht="26" x14ac:dyDescent="0.35">
      <c r="A42" s="15" t="s">
        <v>1913</v>
      </c>
      <c r="B42" s="8" t="s">
        <v>1914</v>
      </c>
      <c r="C42" s="8" t="s">
        <v>1915</v>
      </c>
      <c r="D42" s="8" t="s">
        <v>1916</v>
      </c>
      <c r="E42" s="8" t="s">
        <v>1868</v>
      </c>
    </row>
    <row r="43" spans="1:5" ht="26" x14ac:dyDescent="0.35">
      <c r="A43" s="15" t="s">
        <v>1917</v>
      </c>
      <c r="B43" s="8" t="s">
        <v>1918</v>
      </c>
      <c r="C43" s="8" t="s">
        <v>1919</v>
      </c>
      <c r="D43" s="8" t="s">
        <v>1920</v>
      </c>
      <c r="E43" s="8" t="s">
        <v>1868</v>
      </c>
    </row>
    <row r="44" spans="1:5" ht="26" x14ac:dyDescent="0.35">
      <c r="A44" s="15" t="s">
        <v>1921</v>
      </c>
      <c r="B44" s="8" t="s">
        <v>1922</v>
      </c>
      <c r="C44" s="8" t="s">
        <v>1923</v>
      </c>
      <c r="D44" s="8" t="s">
        <v>1924</v>
      </c>
      <c r="E44" s="8" t="s">
        <v>1477</v>
      </c>
    </row>
    <row r="45" spans="1:5" x14ac:dyDescent="0.35">
      <c r="A45" s="15" t="s">
        <v>1925</v>
      </c>
      <c r="B45" s="8" t="s">
        <v>1926</v>
      </c>
      <c r="C45" s="8" t="s">
        <v>1927</v>
      </c>
      <c r="D45" s="8" t="s">
        <v>1928</v>
      </c>
      <c r="E45" s="8" t="s">
        <v>1929</v>
      </c>
    </row>
    <row r="46" spans="1:5" x14ac:dyDescent="0.35">
      <c r="A46" s="15" t="s">
        <v>1930</v>
      </c>
      <c r="B46" s="8" t="s">
        <v>1931</v>
      </c>
      <c r="C46" s="8" t="s">
        <v>1932</v>
      </c>
      <c r="D46" s="8" t="s">
        <v>1933</v>
      </c>
      <c r="E46" s="8" t="s">
        <v>1813</v>
      </c>
    </row>
    <row r="48" spans="1:5" ht="15.5" x14ac:dyDescent="0.35">
      <c r="A48" s="52" t="s">
        <v>1934</v>
      </c>
      <c r="B48" s="53"/>
      <c r="C48" s="53"/>
      <c r="D48" s="53"/>
      <c r="E48" s="53"/>
    </row>
    <row r="49" spans="1:5" x14ac:dyDescent="0.35">
      <c r="A49" s="6" t="s">
        <v>527</v>
      </c>
      <c r="B49" s="6" t="s">
        <v>1935</v>
      </c>
      <c r="C49" s="6" t="s">
        <v>1936</v>
      </c>
      <c r="D49" s="6" t="s">
        <v>1937</v>
      </c>
      <c r="E49" s="6" t="s">
        <v>121</v>
      </c>
    </row>
    <row r="50" spans="1:5" x14ac:dyDescent="0.35">
      <c r="A50" s="7" t="s">
        <v>198</v>
      </c>
      <c r="B50" s="14" t="s">
        <v>4</v>
      </c>
      <c r="C50" s="14" t="s">
        <v>4</v>
      </c>
      <c r="D50" s="14" t="s">
        <v>4</v>
      </c>
      <c r="E50" s="14" t="s">
        <v>4</v>
      </c>
    </row>
    <row r="51" spans="1:5" x14ac:dyDescent="0.35">
      <c r="A51" s="7" t="s">
        <v>199</v>
      </c>
      <c r="B51" s="14" t="s">
        <v>4</v>
      </c>
      <c r="C51" s="14" t="s">
        <v>4</v>
      </c>
      <c r="D51" s="14" t="s">
        <v>4</v>
      </c>
      <c r="E51" s="14" t="s">
        <v>4</v>
      </c>
    </row>
    <row r="52" spans="1:5" x14ac:dyDescent="0.35">
      <c r="A52" s="7" t="s">
        <v>1799</v>
      </c>
      <c r="B52" s="14" t="s">
        <v>4</v>
      </c>
      <c r="C52" s="14" t="s">
        <v>4</v>
      </c>
      <c r="D52" s="14" t="s">
        <v>4</v>
      </c>
      <c r="E52" s="14" t="s">
        <v>4</v>
      </c>
    </row>
    <row r="53" spans="1:5" x14ac:dyDescent="0.35">
      <c r="A53" s="7" t="s">
        <v>1800</v>
      </c>
      <c r="B53" s="14" t="s">
        <v>4</v>
      </c>
      <c r="C53" s="14" t="s">
        <v>4</v>
      </c>
      <c r="D53" s="14" t="s">
        <v>4</v>
      </c>
      <c r="E53" s="14" t="s">
        <v>4</v>
      </c>
    </row>
    <row r="54" spans="1:5" x14ac:dyDescent="0.35">
      <c r="A54" s="7" t="s">
        <v>1801</v>
      </c>
      <c r="B54" s="14" t="s">
        <v>4</v>
      </c>
      <c r="C54" s="14" t="s">
        <v>4</v>
      </c>
      <c r="D54" s="14" t="s">
        <v>4</v>
      </c>
      <c r="E54" s="14" t="s">
        <v>4</v>
      </c>
    </row>
    <row r="55" spans="1:5" x14ac:dyDescent="0.35">
      <c r="A55" s="7" t="s">
        <v>1802</v>
      </c>
      <c r="B55" s="14" t="s">
        <v>4</v>
      </c>
      <c r="C55" s="14" t="s">
        <v>4</v>
      </c>
      <c r="D55" s="14" t="s">
        <v>4</v>
      </c>
      <c r="E55" s="14" t="s">
        <v>4</v>
      </c>
    </row>
    <row r="56" spans="1:5" x14ac:dyDescent="0.35">
      <c r="A56" s="7" t="s">
        <v>1803</v>
      </c>
      <c r="B56" s="14" t="s">
        <v>4</v>
      </c>
      <c r="C56" s="14" t="s">
        <v>4</v>
      </c>
      <c r="D56" s="14" t="s">
        <v>4</v>
      </c>
      <c r="E56" s="14" t="s">
        <v>4</v>
      </c>
    </row>
    <row r="57" spans="1:5" x14ac:dyDescent="0.35">
      <c r="A57" s="7" t="s">
        <v>1804</v>
      </c>
      <c r="B57" s="14" t="s">
        <v>4</v>
      </c>
      <c r="C57" s="14" t="s">
        <v>4</v>
      </c>
      <c r="D57" s="14" t="s">
        <v>4</v>
      </c>
      <c r="E57" s="14" t="s">
        <v>4</v>
      </c>
    </row>
    <row r="58" spans="1:5" x14ac:dyDescent="0.35">
      <c r="A58" s="7" t="s">
        <v>1938</v>
      </c>
      <c r="B58" s="14" t="s">
        <v>4</v>
      </c>
      <c r="C58" s="14" t="s">
        <v>4</v>
      </c>
      <c r="D58" s="14" t="s">
        <v>4</v>
      </c>
      <c r="E58" s="14" t="s">
        <v>4</v>
      </c>
    </row>
    <row r="59" spans="1:5" x14ac:dyDescent="0.35">
      <c r="A59" s="7" t="s">
        <v>1939</v>
      </c>
      <c r="B59" s="14" t="s">
        <v>4</v>
      </c>
      <c r="C59" s="14" t="s">
        <v>4</v>
      </c>
      <c r="D59" s="14" t="s">
        <v>4</v>
      </c>
      <c r="E59" s="14" t="s">
        <v>4</v>
      </c>
    </row>
    <row r="60" spans="1:5" x14ac:dyDescent="0.35">
      <c r="A60" s="7" t="s">
        <v>1940</v>
      </c>
      <c r="B60" s="14" t="s">
        <v>4</v>
      </c>
      <c r="C60" s="14" t="s">
        <v>4</v>
      </c>
      <c r="D60" s="14" t="s">
        <v>4</v>
      </c>
      <c r="E60" s="14" t="s">
        <v>4</v>
      </c>
    </row>
    <row r="61" spans="1:5" x14ac:dyDescent="0.35">
      <c r="A61" s="7" t="s">
        <v>1941</v>
      </c>
      <c r="B61" s="14" t="s">
        <v>4</v>
      </c>
      <c r="C61" s="14" t="s">
        <v>4</v>
      </c>
      <c r="D61" s="14" t="s">
        <v>4</v>
      </c>
      <c r="E61" s="14" t="s">
        <v>4</v>
      </c>
    </row>
  </sheetData>
  <mergeCells count="5">
    <mergeCell ref="A4:E4"/>
    <mergeCell ref="A48:E48"/>
    <mergeCell ref="A23:E23"/>
    <mergeCell ref="A14:E14"/>
    <mergeCell ref="A40:E4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68"/>
  <sheetViews>
    <sheetView tabSelected="1" topLeftCell="A44" workbookViewId="0"/>
  </sheetViews>
  <sheetFormatPr defaultRowHeight="14.5" x14ac:dyDescent="0.35"/>
  <cols>
    <col min="1" max="1" width="26" customWidth="1"/>
    <col min="2" max="2" width="20" customWidth="1"/>
    <col min="3" max="3" width="38" customWidth="1"/>
    <col min="4" max="4" width="16" customWidth="1"/>
    <col min="5" max="5" width="35" customWidth="1"/>
    <col min="11" max="12" width="20" customWidth="1"/>
  </cols>
  <sheetData>
    <row r="1" spans="1:12" ht="21" x14ac:dyDescent="0.5">
      <c r="A1" s="1" t="s">
        <v>1942</v>
      </c>
      <c r="K1" s="47" t="s">
        <v>1</v>
      </c>
      <c r="L1" s="48" t="s">
        <v>2</v>
      </c>
    </row>
    <row r="2" spans="1:12" x14ac:dyDescent="0.35">
      <c r="A2" s="2" t="s">
        <v>1943</v>
      </c>
    </row>
    <row r="4" spans="1:12" ht="17" x14ac:dyDescent="0.4">
      <c r="A4" s="66" t="str">
        <f ca="1">"Hello " &amp; '01_Personal_Settings'!B6 &amp; " — " &amp; '01_Personal_Settings'!B25</f>
        <v>Hello Pankaj Kumar — Friday, May 15, 2026</v>
      </c>
      <c r="B4" s="53"/>
      <c r="C4" s="53"/>
      <c r="D4" s="53"/>
      <c r="E4" s="53"/>
    </row>
    <row r="6" spans="1:12" ht="15.5" x14ac:dyDescent="0.35">
      <c r="A6" s="52" t="s">
        <v>1944</v>
      </c>
      <c r="B6" s="53"/>
      <c r="C6" s="53"/>
      <c r="D6" s="53"/>
      <c r="E6" s="53"/>
    </row>
    <row r="7" spans="1:12" x14ac:dyDescent="0.35">
      <c r="A7" s="7" t="s">
        <v>1945</v>
      </c>
      <c r="B7" s="31">
        <f ca="1">'01_Personal_Settings'!B16</f>
        <v>60</v>
      </c>
      <c r="C7" s="9" t="s">
        <v>1946</v>
      </c>
    </row>
    <row r="8" spans="1:12" x14ac:dyDescent="0.35">
      <c r="A8" s="7" t="s">
        <v>1947</v>
      </c>
      <c r="B8" s="31">
        <f>'01_Personal_Settings'!B10</f>
        <v>59</v>
      </c>
      <c r="C8" s="9" t="s">
        <v>1948</v>
      </c>
    </row>
    <row r="9" spans="1:12" x14ac:dyDescent="0.35">
      <c r="A9" s="7" t="s">
        <v>96</v>
      </c>
      <c r="B9" s="31">
        <f>ROUND('01_Personal_Settings'!B17,1)</f>
        <v>24.6</v>
      </c>
      <c r="C9" s="9" t="str">
        <f>'01_Personal_Settings'!B18</f>
        <v>Normal</v>
      </c>
    </row>
    <row r="10" spans="1:12" x14ac:dyDescent="0.35">
      <c r="A10" s="7" t="s">
        <v>1949</v>
      </c>
      <c r="B10" s="31">
        <f>'01_Personal_Settings'!B11</f>
        <v>61</v>
      </c>
      <c r="C10" s="9" t="s">
        <v>1950</v>
      </c>
    </row>
    <row r="11" spans="1:12" x14ac:dyDescent="0.35">
      <c r="A11" s="7" t="s">
        <v>1951</v>
      </c>
      <c r="B11" s="31">
        <f>'01_Personal_Settings'!B12</f>
        <v>35</v>
      </c>
      <c r="C11" s="9" t="s">
        <v>1952</v>
      </c>
    </row>
    <row r="12" spans="1:12" x14ac:dyDescent="0.35">
      <c r="A12" s="7" t="s">
        <v>408</v>
      </c>
      <c r="B12" s="31">
        <f>'01_Personal_Settings'!B13</f>
        <v>35</v>
      </c>
      <c r="C12" s="9" t="s">
        <v>1953</v>
      </c>
    </row>
    <row r="14" spans="1:12" ht="15.5" x14ac:dyDescent="0.35">
      <c r="A14" s="52" t="s">
        <v>1954</v>
      </c>
      <c r="B14" s="53"/>
      <c r="C14" s="53"/>
      <c r="D14" s="53"/>
      <c r="E14" s="53"/>
    </row>
    <row r="15" spans="1:12" x14ac:dyDescent="0.35">
      <c r="A15" s="7" t="s">
        <v>1955</v>
      </c>
      <c r="B15" s="31">
        <f>'01_Personal_Settings'!B19</f>
        <v>94</v>
      </c>
      <c r="C15" s="9" t="s">
        <v>941</v>
      </c>
    </row>
    <row r="16" spans="1:12" x14ac:dyDescent="0.35">
      <c r="A16" s="7" t="s">
        <v>1956</v>
      </c>
      <c r="B16" s="31">
        <f>'01_Personal_Settings'!B20</f>
        <v>24</v>
      </c>
      <c r="C16" s="9" t="s">
        <v>1957</v>
      </c>
    </row>
    <row r="17" spans="1:5" x14ac:dyDescent="0.35">
      <c r="A17" s="7" t="s">
        <v>448</v>
      </c>
      <c r="B17" s="31">
        <f>'01_Personal_Settings'!B21</f>
        <v>1.8</v>
      </c>
      <c r="C17" s="9" t="s">
        <v>1958</v>
      </c>
    </row>
    <row r="18" spans="1:5" x14ac:dyDescent="0.35">
      <c r="A18" s="7" t="s">
        <v>1959</v>
      </c>
      <c r="B18" s="31">
        <f ca="1">'01_Personal_Settings'!B22</f>
        <v>166</v>
      </c>
      <c r="C18" s="9" t="s">
        <v>1960</v>
      </c>
    </row>
    <row r="19" spans="1:5" x14ac:dyDescent="0.35">
      <c r="A19" s="7" t="s">
        <v>1961</v>
      </c>
      <c r="B19" s="31">
        <f ca="1">'01_Personal_Settings'!B23</f>
        <v>116</v>
      </c>
      <c r="C19" s="9" t="s">
        <v>1962</v>
      </c>
    </row>
    <row r="20" spans="1:5" x14ac:dyDescent="0.35">
      <c r="A20" s="7" t="s">
        <v>1963</v>
      </c>
      <c r="B20" s="31">
        <f ca="1">'01_Personal_Settings'!B24</f>
        <v>149</v>
      </c>
      <c r="C20" s="9" t="s">
        <v>1964</v>
      </c>
    </row>
    <row r="22" spans="1:5" ht="15.5" x14ac:dyDescent="0.35">
      <c r="A22" s="52" t="s">
        <v>1965</v>
      </c>
      <c r="B22" s="53"/>
      <c r="C22" s="53"/>
      <c r="D22" s="53"/>
      <c r="E22" s="53"/>
    </row>
    <row r="23" spans="1:5" x14ac:dyDescent="0.35">
      <c r="A23" s="6" t="s">
        <v>731</v>
      </c>
      <c r="B23" s="6" t="s">
        <v>665</v>
      </c>
      <c r="C23" s="6" t="s">
        <v>1966</v>
      </c>
      <c r="D23" s="6" t="s">
        <v>4</v>
      </c>
      <c r="E23" s="6" t="s">
        <v>4</v>
      </c>
    </row>
    <row r="24" spans="1:5" x14ac:dyDescent="0.35">
      <c r="A24" s="15" t="s">
        <v>1967</v>
      </c>
      <c r="B24" s="8" t="s">
        <v>1968</v>
      </c>
      <c r="C24" s="8" t="s">
        <v>138</v>
      </c>
    </row>
    <row r="25" spans="1:5" x14ac:dyDescent="0.35">
      <c r="A25" s="15" t="s">
        <v>1969</v>
      </c>
      <c r="B25" s="8" t="s">
        <v>393</v>
      </c>
      <c r="C25" s="8" t="s">
        <v>1970</v>
      </c>
    </row>
    <row r="26" spans="1:5" x14ac:dyDescent="0.35">
      <c r="A26" s="15" t="s">
        <v>1971</v>
      </c>
      <c r="B26" s="8" t="s">
        <v>1972</v>
      </c>
      <c r="C26" s="8" t="s">
        <v>271</v>
      </c>
    </row>
    <row r="27" spans="1:5" x14ac:dyDescent="0.35">
      <c r="A27" s="15" t="s">
        <v>1973</v>
      </c>
      <c r="B27" s="8" t="s">
        <v>1974</v>
      </c>
      <c r="C27" s="8" t="s">
        <v>340</v>
      </c>
    </row>
    <row r="28" spans="1:5" ht="26" x14ac:dyDescent="0.35">
      <c r="A28" s="15" t="s">
        <v>1975</v>
      </c>
      <c r="B28" s="8" t="s">
        <v>1976</v>
      </c>
      <c r="C28" s="8" t="s">
        <v>131</v>
      </c>
    </row>
    <row r="29" spans="1:5" x14ac:dyDescent="0.35">
      <c r="A29" s="15" t="s">
        <v>1977</v>
      </c>
      <c r="B29" s="8" t="s">
        <v>1978</v>
      </c>
      <c r="C29" s="8" t="s">
        <v>1813</v>
      </c>
    </row>
    <row r="30" spans="1:5" ht="26" x14ac:dyDescent="0.35">
      <c r="A30" s="15" t="s">
        <v>1979</v>
      </c>
      <c r="B30" s="8" t="s">
        <v>1980</v>
      </c>
      <c r="C30" s="8" t="s">
        <v>1843</v>
      </c>
    </row>
    <row r="32" spans="1:5" ht="15.5" x14ac:dyDescent="0.35">
      <c r="A32" s="52" t="s">
        <v>1981</v>
      </c>
      <c r="B32" s="53"/>
      <c r="C32" s="53"/>
      <c r="D32" s="53"/>
      <c r="E32" s="53"/>
    </row>
    <row r="33" spans="1:5" x14ac:dyDescent="0.35">
      <c r="A33" s="6" t="s">
        <v>1982</v>
      </c>
      <c r="B33" s="6" t="s">
        <v>83</v>
      </c>
      <c r="C33" s="6" t="s">
        <v>1949</v>
      </c>
      <c r="D33" s="6" t="s">
        <v>1951</v>
      </c>
      <c r="E33" s="6" t="s">
        <v>1983</v>
      </c>
    </row>
    <row r="34" spans="1:5" x14ac:dyDescent="0.35">
      <c r="A34" s="7" t="s">
        <v>1984</v>
      </c>
      <c r="B34" s="14" t="s">
        <v>4</v>
      </c>
      <c r="C34" s="14" t="s">
        <v>4</v>
      </c>
      <c r="D34" s="14" t="s">
        <v>4</v>
      </c>
      <c r="E34" s="14" t="s">
        <v>4</v>
      </c>
    </row>
    <row r="35" spans="1:5" x14ac:dyDescent="0.35">
      <c r="A35" s="7" t="s">
        <v>1985</v>
      </c>
      <c r="B35" s="14" t="s">
        <v>4</v>
      </c>
      <c r="C35" s="14" t="s">
        <v>4</v>
      </c>
      <c r="D35" s="14" t="s">
        <v>4</v>
      </c>
      <c r="E35" s="14" t="s">
        <v>4</v>
      </c>
    </row>
    <row r="36" spans="1:5" x14ac:dyDescent="0.35">
      <c r="A36" s="7" t="s">
        <v>1986</v>
      </c>
      <c r="B36" s="14" t="s">
        <v>4</v>
      </c>
      <c r="C36" s="14" t="s">
        <v>4</v>
      </c>
      <c r="D36" s="14" t="s">
        <v>4</v>
      </c>
      <c r="E36" s="14" t="s">
        <v>4</v>
      </c>
    </row>
    <row r="37" spans="1:5" x14ac:dyDescent="0.35">
      <c r="A37" s="7" t="s">
        <v>1987</v>
      </c>
      <c r="B37" s="14" t="s">
        <v>4</v>
      </c>
      <c r="C37" s="14" t="s">
        <v>4</v>
      </c>
      <c r="D37" s="14" t="s">
        <v>4</v>
      </c>
      <c r="E37" s="14" t="s">
        <v>4</v>
      </c>
    </row>
    <row r="38" spans="1:5" x14ac:dyDescent="0.35">
      <c r="A38" s="7" t="s">
        <v>1988</v>
      </c>
      <c r="B38" s="14" t="s">
        <v>4</v>
      </c>
      <c r="C38" s="14" t="s">
        <v>4</v>
      </c>
      <c r="D38" s="14" t="s">
        <v>4</v>
      </c>
      <c r="E38" s="14" t="s">
        <v>4</v>
      </c>
    </row>
    <row r="39" spans="1:5" x14ac:dyDescent="0.35">
      <c r="A39" s="7" t="s">
        <v>1989</v>
      </c>
      <c r="B39" s="14" t="s">
        <v>4</v>
      </c>
      <c r="C39" s="14" t="s">
        <v>4</v>
      </c>
      <c r="D39" s="14" t="s">
        <v>4</v>
      </c>
      <c r="E39" s="14" t="s">
        <v>4</v>
      </c>
    </row>
    <row r="40" spans="1:5" x14ac:dyDescent="0.35">
      <c r="A40" s="7" t="s">
        <v>1990</v>
      </c>
      <c r="B40" s="14" t="s">
        <v>4</v>
      </c>
      <c r="C40" s="14" t="s">
        <v>4</v>
      </c>
      <c r="D40" s="14" t="s">
        <v>4</v>
      </c>
      <c r="E40" s="14" t="s">
        <v>4</v>
      </c>
    </row>
    <row r="41" spans="1:5" x14ac:dyDescent="0.35">
      <c r="A41" s="7" t="s">
        <v>1991</v>
      </c>
      <c r="B41" s="14" t="s">
        <v>4</v>
      </c>
      <c r="C41" s="14" t="s">
        <v>4</v>
      </c>
      <c r="D41" s="14" t="s">
        <v>4</v>
      </c>
      <c r="E41" s="14" t="s">
        <v>4</v>
      </c>
    </row>
    <row r="42" spans="1:5" x14ac:dyDescent="0.35">
      <c r="A42" s="7" t="s">
        <v>1992</v>
      </c>
      <c r="B42" s="14" t="s">
        <v>4</v>
      </c>
      <c r="C42" s="14" t="s">
        <v>4</v>
      </c>
      <c r="D42" s="14" t="s">
        <v>4</v>
      </c>
      <c r="E42" s="14" t="s">
        <v>4</v>
      </c>
    </row>
    <row r="43" spans="1:5" x14ac:dyDescent="0.35">
      <c r="A43" s="7" t="s">
        <v>1993</v>
      </c>
      <c r="B43" s="14" t="s">
        <v>4</v>
      </c>
      <c r="C43" s="14" t="s">
        <v>4</v>
      </c>
      <c r="D43" s="14" t="s">
        <v>4</v>
      </c>
      <c r="E43" s="14" t="s">
        <v>4</v>
      </c>
    </row>
    <row r="44" spans="1:5" x14ac:dyDescent="0.35">
      <c r="A44" s="7" t="s">
        <v>1994</v>
      </c>
      <c r="B44" s="14" t="s">
        <v>4</v>
      </c>
      <c r="C44" s="14" t="s">
        <v>4</v>
      </c>
      <c r="D44" s="14" t="s">
        <v>4</v>
      </c>
      <c r="E44" s="14" t="s">
        <v>4</v>
      </c>
    </row>
    <row r="45" spans="1:5" x14ac:dyDescent="0.35">
      <c r="A45" s="7" t="s">
        <v>1995</v>
      </c>
      <c r="B45" s="14" t="s">
        <v>4</v>
      </c>
      <c r="C45" s="14" t="s">
        <v>4</v>
      </c>
      <c r="D45" s="14" t="s">
        <v>4</v>
      </c>
      <c r="E45" s="14" t="s">
        <v>4</v>
      </c>
    </row>
    <row r="47" spans="1:5" ht="15.5" x14ac:dyDescent="0.35">
      <c r="A47" s="52" t="s">
        <v>1996</v>
      </c>
      <c r="B47" s="53"/>
      <c r="C47" s="53"/>
      <c r="D47" s="53"/>
      <c r="E47" s="53"/>
    </row>
    <row r="48" spans="1:5" x14ac:dyDescent="0.35">
      <c r="A48" s="7" t="s">
        <v>1997</v>
      </c>
      <c r="B48" s="32" t="s">
        <v>7</v>
      </c>
    </row>
    <row r="49" spans="1:5" x14ac:dyDescent="0.35">
      <c r="A49" s="7" t="s">
        <v>1998</v>
      </c>
      <c r="B49" s="32" t="s">
        <v>15</v>
      </c>
    </row>
    <row r="50" spans="1:5" x14ac:dyDescent="0.35">
      <c r="A50" s="7" t="s">
        <v>1999</v>
      </c>
      <c r="B50" s="32" t="s">
        <v>17</v>
      </c>
    </row>
    <row r="51" spans="1:5" x14ac:dyDescent="0.35">
      <c r="A51" s="7" t="s">
        <v>2000</v>
      </c>
      <c r="B51" s="32" t="s">
        <v>2001</v>
      </c>
    </row>
    <row r="52" spans="1:5" x14ac:dyDescent="0.35">
      <c r="A52" s="7" t="s">
        <v>2002</v>
      </c>
      <c r="B52" s="32" t="s">
        <v>25</v>
      </c>
    </row>
    <row r="53" spans="1:5" x14ac:dyDescent="0.35">
      <c r="A53" s="7" t="s">
        <v>2003</v>
      </c>
      <c r="B53" s="32" t="s">
        <v>11</v>
      </c>
    </row>
    <row r="54" spans="1:5" x14ac:dyDescent="0.35">
      <c r="A54" s="7" t="s">
        <v>2004</v>
      </c>
      <c r="B54" s="32" t="s">
        <v>33</v>
      </c>
    </row>
    <row r="56" spans="1:5" x14ac:dyDescent="0.35">
      <c r="A56" s="38" t="s">
        <v>2005</v>
      </c>
      <c r="B56" s="38"/>
      <c r="C56" s="38"/>
      <c r="D56" s="38"/>
      <c r="E56" s="38"/>
    </row>
    <row r="57" spans="1:5" x14ac:dyDescent="0.35">
      <c r="A57" s="40" t="s">
        <v>757</v>
      </c>
      <c r="B57" s="40" t="s">
        <v>2006</v>
      </c>
      <c r="C57" s="40" t="s">
        <v>2007</v>
      </c>
      <c r="D57" s="40" t="s">
        <v>2008</v>
      </c>
      <c r="E57" s="40" t="s">
        <v>2009</v>
      </c>
    </row>
    <row r="58" spans="1:5" x14ac:dyDescent="0.35">
      <c r="A58" s="40" t="s">
        <v>825</v>
      </c>
      <c r="B58" s="40" t="s">
        <v>2010</v>
      </c>
      <c r="C58" s="40" t="s">
        <v>2011</v>
      </c>
      <c r="D58" s="40" t="s">
        <v>2008</v>
      </c>
      <c r="E58" s="40" t="s">
        <v>2012</v>
      </c>
    </row>
    <row r="59" spans="1:5" x14ac:dyDescent="0.35">
      <c r="A59" s="40" t="s">
        <v>883</v>
      </c>
      <c r="B59" s="40" t="s">
        <v>2013</v>
      </c>
      <c r="C59" s="40" t="s">
        <v>2014</v>
      </c>
      <c r="D59" s="40" t="s">
        <v>2015</v>
      </c>
      <c r="E59" s="40" t="s">
        <v>2016</v>
      </c>
    </row>
    <row r="60" spans="1:5" ht="29" x14ac:dyDescent="0.35">
      <c r="A60" s="40" t="s">
        <v>2017</v>
      </c>
      <c r="B60" s="40" t="s">
        <v>735</v>
      </c>
      <c r="C60" s="40" t="s">
        <v>2018</v>
      </c>
      <c r="D60" s="40" t="s">
        <v>63</v>
      </c>
      <c r="E60" s="40" t="s">
        <v>2019</v>
      </c>
    </row>
    <row r="61" spans="1:5" x14ac:dyDescent="0.35">
      <c r="A61" s="40"/>
      <c r="B61" s="40"/>
      <c r="C61" s="40"/>
      <c r="D61" s="40"/>
      <c r="E61" s="40"/>
    </row>
    <row r="62" spans="1:5" x14ac:dyDescent="0.35">
      <c r="A62" s="40"/>
      <c r="B62" s="40"/>
      <c r="C62" s="40"/>
      <c r="D62" s="40"/>
      <c r="E62" s="40"/>
    </row>
    <row r="63" spans="1:5" x14ac:dyDescent="0.35">
      <c r="A63" s="40"/>
      <c r="B63" s="40"/>
      <c r="C63" s="40"/>
      <c r="D63" s="40"/>
      <c r="E63" s="40"/>
    </row>
    <row r="64" spans="1:5" x14ac:dyDescent="0.35">
      <c r="A64" s="40"/>
      <c r="B64" s="40"/>
      <c r="C64" s="40"/>
      <c r="D64" s="40"/>
      <c r="E64" s="40"/>
    </row>
    <row r="65" spans="1:5" x14ac:dyDescent="0.35">
      <c r="A65" s="40"/>
      <c r="B65" s="40"/>
      <c r="C65" s="40"/>
      <c r="D65" s="40"/>
      <c r="E65" s="40"/>
    </row>
    <row r="66" spans="1:5" x14ac:dyDescent="0.35">
      <c r="A66" s="40"/>
      <c r="B66" s="40"/>
      <c r="C66" s="40"/>
      <c r="D66" s="40"/>
      <c r="E66" s="40"/>
    </row>
    <row r="67" spans="1:5" x14ac:dyDescent="0.35">
      <c r="A67" s="40"/>
      <c r="B67" s="40"/>
      <c r="C67" s="40"/>
      <c r="D67" s="40"/>
      <c r="E67" s="40"/>
    </row>
    <row r="68" spans="1:5" x14ac:dyDescent="0.35">
      <c r="A68" s="40"/>
      <c r="B68" s="40"/>
      <c r="C68" s="40"/>
      <c r="D68" s="40"/>
      <c r="E68" s="40"/>
    </row>
  </sheetData>
  <mergeCells count="6">
    <mergeCell ref="A4:E4"/>
    <mergeCell ref="A47:E47"/>
    <mergeCell ref="A32:E32"/>
    <mergeCell ref="A14:E14"/>
    <mergeCell ref="A6:E6"/>
    <mergeCell ref="A22:E2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6"/>
  <sheetViews>
    <sheetView workbookViewId="0"/>
  </sheetViews>
  <sheetFormatPr defaultRowHeight="14.5" x14ac:dyDescent="0.35"/>
  <cols>
    <col min="1" max="1" width="26" customWidth="1"/>
    <col min="2" max="2" width="50" customWidth="1"/>
    <col min="3" max="3" width="60" customWidth="1"/>
    <col min="4" max="4" width="38" customWidth="1"/>
    <col min="11" max="12" width="20" customWidth="1"/>
  </cols>
  <sheetData>
    <row r="1" spans="1:12" ht="21" x14ac:dyDescent="0.5">
      <c r="A1" s="1" t="s">
        <v>2020</v>
      </c>
      <c r="K1" s="47" t="s">
        <v>1</v>
      </c>
      <c r="L1" s="48" t="s">
        <v>2</v>
      </c>
    </row>
    <row r="2" spans="1:12" x14ac:dyDescent="0.35">
      <c r="A2" s="2" t="s">
        <v>2021</v>
      </c>
    </row>
    <row r="4" spans="1:12" ht="15.5" x14ac:dyDescent="0.35">
      <c r="A4" s="52" t="s">
        <v>2022</v>
      </c>
      <c r="B4" s="53"/>
      <c r="C4" s="53"/>
      <c r="D4" s="53"/>
    </row>
    <row r="5" spans="1:12" x14ac:dyDescent="0.35">
      <c r="A5" s="6" t="s">
        <v>122</v>
      </c>
      <c r="B5" s="6" t="s">
        <v>2023</v>
      </c>
      <c r="C5" s="6" t="s">
        <v>2024</v>
      </c>
      <c r="D5" s="6" t="s">
        <v>123</v>
      </c>
    </row>
    <row r="6" spans="1:12" x14ac:dyDescent="0.35">
      <c r="A6" s="33" t="s">
        <v>138</v>
      </c>
      <c r="B6" s="8" t="s">
        <v>2025</v>
      </c>
      <c r="C6" s="8" t="s">
        <v>2026</v>
      </c>
      <c r="D6" s="17" t="s">
        <v>2027</v>
      </c>
    </row>
    <row r="7" spans="1:12" x14ac:dyDescent="0.35">
      <c r="A7" s="33" t="s">
        <v>131</v>
      </c>
      <c r="B7" s="8" t="s">
        <v>2028</v>
      </c>
      <c r="C7" s="8" t="s">
        <v>2029</v>
      </c>
      <c r="D7" s="17" t="s">
        <v>2027</v>
      </c>
    </row>
    <row r="8" spans="1:12" x14ac:dyDescent="0.35">
      <c r="A8" s="33" t="s">
        <v>1610</v>
      </c>
      <c r="B8" s="8" t="s">
        <v>2030</v>
      </c>
      <c r="C8" s="8" t="s">
        <v>2031</v>
      </c>
      <c r="D8" s="17" t="s">
        <v>2027</v>
      </c>
    </row>
    <row r="9" spans="1:12" x14ac:dyDescent="0.35">
      <c r="A9" s="33" t="s">
        <v>1633</v>
      </c>
      <c r="B9" s="8" t="s">
        <v>2032</v>
      </c>
      <c r="C9" s="8" t="s">
        <v>2033</v>
      </c>
      <c r="D9" s="17" t="s">
        <v>2027</v>
      </c>
    </row>
    <row r="10" spans="1:12" x14ac:dyDescent="0.35">
      <c r="A10" s="33" t="s">
        <v>168</v>
      </c>
      <c r="B10" s="8" t="s">
        <v>2034</v>
      </c>
      <c r="C10" s="8" t="s">
        <v>2035</v>
      </c>
      <c r="D10" s="17" t="s">
        <v>2027</v>
      </c>
    </row>
    <row r="11" spans="1:12" x14ac:dyDescent="0.35">
      <c r="A11" s="33" t="s">
        <v>366</v>
      </c>
      <c r="B11" s="8" t="s">
        <v>2036</v>
      </c>
      <c r="C11" s="8" t="s">
        <v>2037</v>
      </c>
      <c r="D11" s="17" t="s">
        <v>2027</v>
      </c>
    </row>
    <row r="12" spans="1:12" x14ac:dyDescent="0.35">
      <c r="A12" s="33" t="s">
        <v>1593</v>
      </c>
      <c r="B12" s="8" t="s">
        <v>2038</v>
      </c>
      <c r="C12" s="8" t="s">
        <v>2039</v>
      </c>
      <c r="D12" s="17" t="s">
        <v>2027</v>
      </c>
    </row>
    <row r="13" spans="1:12" x14ac:dyDescent="0.35">
      <c r="A13" s="33" t="s">
        <v>1549</v>
      </c>
      <c r="B13" s="8" t="s">
        <v>2040</v>
      </c>
      <c r="C13" s="8" t="s">
        <v>2041</v>
      </c>
      <c r="D13" s="17" t="s">
        <v>2027</v>
      </c>
    </row>
    <row r="14" spans="1:12" x14ac:dyDescent="0.35">
      <c r="A14" s="33" t="s">
        <v>1560</v>
      </c>
      <c r="B14" s="8" t="s">
        <v>2042</v>
      </c>
      <c r="C14" s="8" t="s">
        <v>2043</v>
      </c>
      <c r="D14" s="17" t="s">
        <v>2027</v>
      </c>
    </row>
    <row r="15" spans="1:12" x14ac:dyDescent="0.35">
      <c r="A15" s="33" t="s">
        <v>1532</v>
      </c>
      <c r="B15" s="8" t="s">
        <v>2044</v>
      </c>
      <c r="C15" s="8" t="s">
        <v>2045</v>
      </c>
      <c r="D15" s="17" t="s">
        <v>2027</v>
      </c>
    </row>
    <row r="16" spans="1:12" x14ac:dyDescent="0.35">
      <c r="A16" s="33" t="s">
        <v>1556</v>
      </c>
      <c r="B16" s="8" t="s">
        <v>2046</v>
      </c>
      <c r="C16" s="8" t="s">
        <v>2047</v>
      </c>
      <c r="D16" s="17" t="s">
        <v>2027</v>
      </c>
    </row>
    <row r="17" spans="1:4" x14ac:dyDescent="0.35">
      <c r="A17" s="33" t="s">
        <v>1585</v>
      </c>
      <c r="B17" s="8" t="s">
        <v>2048</v>
      </c>
      <c r="C17" s="8" t="s">
        <v>2049</v>
      </c>
      <c r="D17" s="17" t="s">
        <v>2027</v>
      </c>
    </row>
    <row r="18" spans="1:4" x14ac:dyDescent="0.35">
      <c r="A18" s="33" t="s">
        <v>2050</v>
      </c>
      <c r="B18" s="8" t="s">
        <v>2051</v>
      </c>
      <c r="C18" s="8" t="s">
        <v>2052</v>
      </c>
      <c r="D18" s="17" t="s">
        <v>2027</v>
      </c>
    </row>
    <row r="19" spans="1:4" x14ac:dyDescent="0.35">
      <c r="A19" s="33" t="s">
        <v>1581</v>
      </c>
      <c r="B19" s="8" t="s">
        <v>2053</v>
      </c>
      <c r="C19" s="8" t="s">
        <v>2054</v>
      </c>
      <c r="D19" s="17" t="s">
        <v>2027</v>
      </c>
    </row>
    <row r="20" spans="1:4" x14ac:dyDescent="0.35">
      <c r="A20" s="33" t="s">
        <v>1589</v>
      </c>
      <c r="B20" s="8" t="s">
        <v>2055</v>
      </c>
      <c r="C20" s="8" t="s">
        <v>2056</v>
      </c>
      <c r="D20" s="17" t="s">
        <v>2027</v>
      </c>
    </row>
    <row r="21" spans="1:4" x14ac:dyDescent="0.35">
      <c r="A21" s="33" t="s">
        <v>1230</v>
      </c>
      <c r="B21" s="8" t="s">
        <v>2057</v>
      </c>
      <c r="C21" s="8" t="s">
        <v>2058</v>
      </c>
      <c r="D21" s="17" t="s">
        <v>2027</v>
      </c>
    </row>
    <row r="22" spans="1:4" x14ac:dyDescent="0.35">
      <c r="A22" s="33" t="s">
        <v>2059</v>
      </c>
      <c r="B22" s="8" t="s">
        <v>2060</v>
      </c>
      <c r="C22" s="8" t="s">
        <v>2061</v>
      </c>
      <c r="D22" s="17" t="s">
        <v>2027</v>
      </c>
    </row>
    <row r="23" spans="1:4" x14ac:dyDescent="0.35">
      <c r="A23" s="33" t="s">
        <v>2062</v>
      </c>
      <c r="B23" s="8" t="s">
        <v>2063</v>
      </c>
      <c r="C23" s="8" t="s">
        <v>2064</v>
      </c>
      <c r="D23" s="17" t="s">
        <v>2027</v>
      </c>
    </row>
    <row r="24" spans="1:4" x14ac:dyDescent="0.35">
      <c r="A24" s="33" t="s">
        <v>1566</v>
      </c>
      <c r="B24" s="8" t="s">
        <v>2065</v>
      </c>
      <c r="C24" s="8" t="s">
        <v>2066</v>
      </c>
      <c r="D24" s="17" t="s">
        <v>2027</v>
      </c>
    </row>
    <row r="25" spans="1:4" x14ac:dyDescent="0.35">
      <c r="A25" s="33" t="s">
        <v>1570</v>
      </c>
      <c r="B25" s="8" t="s">
        <v>2067</v>
      </c>
      <c r="C25" s="8" t="s">
        <v>2068</v>
      </c>
      <c r="D25" s="17" t="s">
        <v>2027</v>
      </c>
    </row>
    <row r="26" spans="1:4" x14ac:dyDescent="0.35">
      <c r="A26" s="33" t="s">
        <v>1574</v>
      </c>
      <c r="B26" s="8" t="s">
        <v>2069</v>
      </c>
      <c r="C26" s="8" t="s">
        <v>2070</v>
      </c>
      <c r="D26" s="17" t="s">
        <v>2027</v>
      </c>
    </row>
    <row r="27" spans="1:4" x14ac:dyDescent="0.35">
      <c r="A27" s="33" t="s">
        <v>1477</v>
      </c>
      <c r="B27" s="8" t="s">
        <v>2071</v>
      </c>
      <c r="C27" s="8" t="s">
        <v>2072</v>
      </c>
      <c r="D27" s="17" t="s">
        <v>2027</v>
      </c>
    </row>
    <row r="28" spans="1:4" x14ac:dyDescent="0.35">
      <c r="A28" s="33" t="s">
        <v>1482</v>
      </c>
      <c r="B28" s="8" t="s">
        <v>2073</v>
      </c>
      <c r="C28" s="8" t="s">
        <v>2074</v>
      </c>
      <c r="D28" s="17" t="s">
        <v>2027</v>
      </c>
    </row>
    <row r="29" spans="1:4" x14ac:dyDescent="0.35">
      <c r="A29" s="33" t="s">
        <v>2075</v>
      </c>
      <c r="B29" s="8" t="s">
        <v>2076</v>
      </c>
      <c r="C29" s="8" t="s">
        <v>2077</v>
      </c>
      <c r="D29" s="17" t="s">
        <v>2027</v>
      </c>
    </row>
    <row r="30" spans="1:4" x14ac:dyDescent="0.35">
      <c r="A30" s="33" t="s">
        <v>1222</v>
      </c>
      <c r="B30" s="8" t="s">
        <v>2078</v>
      </c>
      <c r="C30" s="8" t="s">
        <v>2079</v>
      </c>
      <c r="D30" s="17" t="s">
        <v>2027</v>
      </c>
    </row>
    <row r="31" spans="1:4" x14ac:dyDescent="0.35">
      <c r="A31" s="33" t="s">
        <v>1491</v>
      </c>
      <c r="B31" s="8" t="s">
        <v>2080</v>
      </c>
      <c r="C31" s="8" t="s">
        <v>2081</v>
      </c>
      <c r="D31" s="17" t="s">
        <v>2027</v>
      </c>
    </row>
    <row r="32" spans="1:4" x14ac:dyDescent="0.35">
      <c r="A32" s="33" t="s">
        <v>1813</v>
      </c>
      <c r="B32" s="8" t="s">
        <v>2082</v>
      </c>
      <c r="C32" s="8" t="s">
        <v>2083</v>
      </c>
      <c r="D32" s="17" t="s">
        <v>2027</v>
      </c>
    </row>
    <row r="34" spans="1:4" ht="15.5" x14ac:dyDescent="0.35">
      <c r="A34" s="52" t="s">
        <v>2084</v>
      </c>
      <c r="B34" s="53"/>
      <c r="C34" s="53"/>
      <c r="D34" s="53"/>
    </row>
    <row r="35" spans="1:4" x14ac:dyDescent="0.35">
      <c r="A35" s="6" t="s">
        <v>122</v>
      </c>
      <c r="B35" s="6" t="s">
        <v>2085</v>
      </c>
      <c r="C35" s="6" t="s">
        <v>2086</v>
      </c>
      <c r="D35" s="6" t="s">
        <v>2087</v>
      </c>
    </row>
    <row r="36" spans="1:4" x14ac:dyDescent="0.35">
      <c r="A36" s="33" t="s">
        <v>2088</v>
      </c>
      <c r="B36" s="8" t="s">
        <v>2089</v>
      </c>
      <c r="C36" s="8" t="s">
        <v>2090</v>
      </c>
      <c r="D36" s="19" t="s">
        <v>2091</v>
      </c>
    </row>
    <row r="37" spans="1:4" ht="26" x14ac:dyDescent="0.35">
      <c r="A37" s="33" t="s">
        <v>340</v>
      </c>
      <c r="B37" s="8" t="s">
        <v>2092</v>
      </c>
      <c r="C37" s="8" t="s">
        <v>2093</v>
      </c>
      <c r="D37" s="19" t="s">
        <v>2094</v>
      </c>
    </row>
    <row r="38" spans="1:4" x14ac:dyDescent="0.35">
      <c r="A38" s="33" t="s">
        <v>1970</v>
      </c>
      <c r="B38" s="8" t="s">
        <v>2095</v>
      </c>
      <c r="C38" s="8" t="s">
        <v>2096</v>
      </c>
      <c r="D38" s="19" t="s">
        <v>2097</v>
      </c>
    </row>
    <row r="39" spans="1:4" x14ac:dyDescent="0.35">
      <c r="A39" s="33" t="s">
        <v>2098</v>
      </c>
      <c r="B39" s="8" t="s">
        <v>2099</v>
      </c>
      <c r="C39" s="8" t="s">
        <v>2100</v>
      </c>
      <c r="D39" s="19" t="s">
        <v>2101</v>
      </c>
    </row>
    <row r="40" spans="1:4" x14ac:dyDescent="0.35">
      <c r="A40" s="33" t="s">
        <v>2102</v>
      </c>
      <c r="B40" s="8" t="s">
        <v>2103</v>
      </c>
      <c r="C40" s="8" t="s">
        <v>2104</v>
      </c>
      <c r="D40" s="19" t="s">
        <v>2105</v>
      </c>
    </row>
    <row r="41" spans="1:4" x14ac:dyDescent="0.35">
      <c r="A41" s="33" t="s">
        <v>478</v>
      </c>
      <c r="B41" s="8" t="s">
        <v>2106</v>
      </c>
      <c r="C41" s="8" t="s">
        <v>2107</v>
      </c>
      <c r="D41" s="19" t="s">
        <v>2108</v>
      </c>
    </row>
    <row r="42" spans="1:4" x14ac:dyDescent="0.35">
      <c r="A42" s="33" t="s">
        <v>1085</v>
      </c>
      <c r="B42" s="8" t="s">
        <v>2109</v>
      </c>
      <c r="C42" s="8" t="s">
        <v>2110</v>
      </c>
      <c r="D42" s="19" t="s">
        <v>2111</v>
      </c>
    </row>
    <row r="43" spans="1:4" x14ac:dyDescent="0.35">
      <c r="A43" s="33" t="s">
        <v>1500</v>
      </c>
      <c r="B43" s="8" t="s">
        <v>2112</v>
      </c>
      <c r="C43" s="8" t="s">
        <v>2113</v>
      </c>
      <c r="D43" s="19" t="s">
        <v>2114</v>
      </c>
    </row>
    <row r="44" spans="1:4" x14ac:dyDescent="0.35">
      <c r="A44" s="33" t="s">
        <v>2115</v>
      </c>
      <c r="B44" s="8" t="s">
        <v>2116</v>
      </c>
      <c r="C44" s="8" t="s">
        <v>2117</v>
      </c>
      <c r="D44" s="19" t="s">
        <v>2118</v>
      </c>
    </row>
    <row r="45" spans="1:4" x14ac:dyDescent="0.35">
      <c r="A45" s="33" t="s">
        <v>1105</v>
      </c>
      <c r="B45" s="8" t="s">
        <v>2119</v>
      </c>
      <c r="C45" s="8" t="s">
        <v>2120</v>
      </c>
      <c r="D45" s="19" t="s">
        <v>2121</v>
      </c>
    </row>
    <row r="46" spans="1:4" x14ac:dyDescent="0.35">
      <c r="A46" s="33" t="s">
        <v>1116</v>
      </c>
      <c r="B46" s="8" t="s">
        <v>2122</v>
      </c>
      <c r="C46" s="8" t="s">
        <v>2123</v>
      </c>
      <c r="D46" s="19" t="s">
        <v>2124</v>
      </c>
    </row>
    <row r="47" spans="1:4" x14ac:dyDescent="0.35">
      <c r="A47" s="33" t="s">
        <v>1687</v>
      </c>
      <c r="B47" s="8" t="s">
        <v>2125</v>
      </c>
      <c r="C47" s="8" t="s">
        <v>2126</v>
      </c>
      <c r="D47" s="19" t="s">
        <v>2127</v>
      </c>
    </row>
    <row r="48" spans="1:4" x14ac:dyDescent="0.35">
      <c r="A48" s="33" t="s">
        <v>1486</v>
      </c>
      <c r="B48" s="8" t="s">
        <v>2128</v>
      </c>
      <c r="C48" s="8" t="s">
        <v>2129</v>
      </c>
      <c r="D48" s="19" t="s">
        <v>2130</v>
      </c>
    </row>
    <row r="49" spans="1:4" x14ac:dyDescent="0.35">
      <c r="A49" s="33" t="s">
        <v>2131</v>
      </c>
      <c r="B49" s="8" t="s">
        <v>2132</v>
      </c>
      <c r="C49" s="8" t="s">
        <v>2133</v>
      </c>
      <c r="D49" s="19" t="s">
        <v>2134</v>
      </c>
    </row>
    <row r="50" spans="1:4" x14ac:dyDescent="0.35">
      <c r="A50" s="33" t="s">
        <v>2135</v>
      </c>
      <c r="B50" s="8" t="s">
        <v>2136</v>
      </c>
      <c r="C50" s="8" t="s">
        <v>2137</v>
      </c>
      <c r="D50" s="19" t="s">
        <v>2138</v>
      </c>
    </row>
    <row r="51" spans="1:4" x14ac:dyDescent="0.35">
      <c r="A51" s="33" t="s">
        <v>1160</v>
      </c>
      <c r="B51" s="8" t="s">
        <v>2139</v>
      </c>
      <c r="C51" s="8" t="s">
        <v>2140</v>
      </c>
      <c r="D51" s="19" t="s">
        <v>2141</v>
      </c>
    </row>
    <row r="52" spans="1:4" x14ac:dyDescent="0.35">
      <c r="A52" s="33" t="s">
        <v>1181</v>
      </c>
      <c r="B52" s="8" t="s">
        <v>2142</v>
      </c>
      <c r="C52" s="8" t="s">
        <v>2143</v>
      </c>
      <c r="D52" s="19" t="s">
        <v>2144</v>
      </c>
    </row>
    <row r="53" spans="1:4" ht="26" x14ac:dyDescent="0.35">
      <c r="A53" s="33" t="s">
        <v>2145</v>
      </c>
      <c r="B53" s="8" t="s">
        <v>2146</v>
      </c>
      <c r="C53" s="8" t="s">
        <v>2147</v>
      </c>
      <c r="D53" s="19" t="s">
        <v>1955</v>
      </c>
    </row>
    <row r="54" spans="1:4" x14ac:dyDescent="0.35">
      <c r="A54" s="33" t="s">
        <v>2148</v>
      </c>
      <c r="B54" s="8" t="s">
        <v>2149</v>
      </c>
      <c r="C54" s="8" t="s">
        <v>2150</v>
      </c>
      <c r="D54" s="19" t="s">
        <v>2151</v>
      </c>
    </row>
    <row r="55" spans="1:4" x14ac:dyDescent="0.35">
      <c r="A55" s="33" t="s">
        <v>2152</v>
      </c>
      <c r="B55" s="8" t="s">
        <v>2153</v>
      </c>
      <c r="C55" s="8" t="s">
        <v>2154</v>
      </c>
      <c r="D55" s="19" t="s">
        <v>2155</v>
      </c>
    </row>
    <row r="56" spans="1:4" x14ac:dyDescent="0.35">
      <c r="A56" s="33" t="s">
        <v>2156</v>
      </c>
      <c r="B56" s="8" t="s">
        <v>2157</v>
      </c>
      <c r="C56" s="8" t="s">
        <v>2158</v>
      </c>
      <c r="D56" s="19" t="s">
        <v>2159</v>
      </c>
    </row>
    <row r="57" spans="1:4" x14ac:dyDescent="0.35">
      <c r="A57" s="33" t="s">
        <v>2160</v>
      </c>
      <c r="B57" s="8" t="s">
        <v>2161</v>
      </c>
      <c r="C57" s="8" t="s">
        <v>2162</v>
      </c>
      <c r="D57" s="19" t="s">
        <v>2163</v>
      </c>
    </row>
    <row r="58" spans="1:4" x14ac:dyDescent="0.35">
      <c r="A58" s="33" t="s">
        <v>934</v>
      </c>
      <c r="B58" s="8" t="s">
        <v>2164</v>
      </c>
      <c r="C58" s="8" t="s">
        <v>2165</v>
      </c>
      <c r="D58" s="19" t="s">
        <v>432</v>
      </c>
    </row>
    <row r="59" spans="1:4" x14ac:dyDescent="0.35">
      <c r="A59" s="33" t="s">
        <v>2166</v>
      </c>
      <c r="B59" s="8" t="s">
        <v>2167</v>
      </c>
      <c r="C59" s="8" t="s">
        <v>2168</v>
      </c>
      <c r="D59" s="19" t="s">
        <v>2169</v>
      </c>
    </row>
    <row r="60" spans="1:4" x14ac:dyDescent="0.35">
      <c r="A60" s="33" t="s">
        <v>2170</v>
      </c>
      <c r="B60" s="8" t="s">
        <v>2171</v>
      </c>
      <c r="C60" s="8" t="s">
        <v>2172</v>
      </c>
      <c r="D60" s="19" t="s">
        <v>575</v>
      </c>
    </row>
    <row r="61" spans="1:4" x14ac:dyDescent="0.35">
      <c r="A61" s="33" t="s">
        <v>1335</v>
      </c>
      <c r="B61" s="8" t="s">
        <v>2173</v>
      </c>
      <c r="C61" s="8" t="s">
        <v>2174</v>
      </c>
      <c r="D61" s="19" t="s">
        <v>2175</v>
      </c>
    </row>
    <row r="62" spans="1:4" x14ac:dyDescent="0.35">
      <c r="A62" s="33" t="s">
        <v>1354</v>
      </c>
      <c r="B62" s="8" t="s">
        <v>2176</v>
      </c>
      <c r="C62" s="8" t="s">
        <v>2177</v>
      </c>
      <c r="D62" s="19" t="s">
        <v>2178</v>
      </c>
    </row>
    <row r="63" spans="1:4" x14ac:dyDescent="0.35">
      <c r="A63" s="33" t="s">
        <v>1367</v>
      </c>
      <c r="B63" s="8" t="s">
        <v>2179</v>
      </c>
      <c r="C63" s="8" t="s">
        <v>2180</v>
      </c>
      <c r="D63" s="19" t="s">
        <v>2181</v>
      </c>
    </row>
    <row r="64" spans="1:4" x14ac:dyDescent="0.35">
      <c r="A64" s="33" t="s">
        <v>1376</v>
      </c>
      <c r="B64" s="8" t="s">
        <v>2182</v>
      </c>
      <c r="C64" s="8" t="s">
        <v>2183</v>
      </c>
      <c r="D64" s="19" t="s">
        <v>2184</v>
      </c>
    </row>
    <row r="65" spans="1:4" x14ac:dyDescent="0.35">
      <c r="A65" s="33" t="s">
        <v>1385</v>
      </c>
      <c r="B65" s="8" t="s">
        <v>2185</v>
      </c>
      <c r="C65" s="8" t="s">
        <v>2186</v>
      </c>
      <c r="D65" s="19" t="s">
        <v>2187</v>
      </c>
    </row>
    <row r="66" spans="1:4" x14ac:dyDescent="0.35">
      <c r="A66" s="33" t="s">
        <v>1391</v>
      </c>
      <c r="B66" s="8" t="s">
        <v>2188</v>
      </c>
      <c r="C66" s="8" t="s">
        <v>2189</v>
      </c>
      <c r="D66" s="19" t="s">
        <v>2190</v>
      </c>
    </row>
    <row r="67" spans="1:4" x14ac:dyDescent="0.35">
      <c r="A67" s="33" t="s">
        <v>1396</v>
      </c>
      <c r="B67" s="8" t="s">
        <v>2191</v>
      </c>
      <c r="C67" s="8" t="s">
        <v>2192</v>
      </c>
      <c r="D67" s="19" t="s">
        <v>2193</v>
      </c>
    </row>
    <row r="68" spans="1:4" x14ac:dyDescent="0.35">
      <c r="A68" s="33" t="s">
        <v>1403</v>
      </c>
      <c r="B68" s="8" t="s">
        <v>2194</v>
      </c>
      <c r="C68" s="8" t="s">
        <v>2195</v>
      </c>
      <c r="D68" s="19" t="s">
        <v>2196</v>
      </c>
    </row>
    <row r="69" spans="1:4" x14ac:dyDescent="0.35">
      <c r="A69" s="33" t="s">
        <v>1417</v>
      </c>
      <c r="B69" s="8" t="s">
        <v>2197</v>
      </c>
      <c r="C69" s="8" t="s">
        <v>2198</v>
      </c>
      <c r="D69" s="19" t="s">
        <v>2199</v>
      </c>
    </row>
    <row r="70" spans="1:4" x14ac:dyDescent="0.35">
      <c r="A70" s="33" t="s">
        <v>1425</v>
      </c>
      <c r="B70" s="8" t="s">
        <v>2200</v>
      </c>
      <c r="C70" s="8" t="s">
        <v>2201</v>
      </c>
      <c r="D70" s="19" t="s">
        <v>2202</v>
      </c>
    </row>
    <row r="71" spans="1:4" x14ac:dyDescent="0.35">
      <c r="A71" s="33" t="s">
        <v>1436</v>
      </c>
      <c r="B71" s="8" t="s">
        <v>2203</v>
      </c>
      <c r="C71" s="8" t="s">
        <v>2204</v>
      </c>
      <c r="D71" s="19" t="s">
        <v>2205</v>
      </c>
    </row>
    <row r="72" spans="1:4" x14ac:dyDescent="0.35">
      <c r="A72" s="33" t="s">
        <v>1452</v>
      </c>
      <c r="B72" s="8" t="s">
        <v>2206</v>
      </c>
      <c r="C72" s="8" t="s">
        <v>2207</v>
      </c>
      <c r="D72" s="19" t="s">
        <v>2208</v>
      </c>
    </row>
    <row r="73" spans="1:4" x14ac:dyDescent="0.35">
      <c r="A73" s="33" t="s">
        <v>1466</v>
      </c>
      <c r="B73" s="8" t="s">
        <v>2209</v>
      </c>
      <c r="C73" s="8" t="s">
        <v>2210</v>
      </c>
      <c r="D73" s="19" t="s">
        <v>2211</v>
      </c>
    </row>
    <row r="74" spans="1:4" x14ac:dyDescent="0.35">
      <c r="A74" s="33" t="s">
        <v>1471</v>
      </c>
      <c r="B74" s="8" t="s">
        <v>2212</v>
      </c>
      <c r="C74" s="8" t="s">
        <v>2213</v>
      </c>
      <c r="D74" s="19" t="s">
        <v>2214</v>
      </c>
    </row>
    <row r="75" spans="1:4" x14ac:dyDescent="0.35">
      <c r="A75" s="33" t="s">
        <v>1505</v>
      </c>
      <c r="B75" s="8" t="s">
        <v>2215</v>
      </c>
      <c r="C75" s="8" t="s">
        <v>2216</v>
      </c>
      <c r="D75" s="19" t="s">
        <v>2217</v>
      </c>
    </row>
    <row r="76" spans="1:4" x14ac:dyDescent="0.35">
      <c r="A76" s="33" t="s">
        <v>1523</v>
      </c>
      <c r="B76" s="8" t="s">
        <v>2218</v>
      </c>
      <c r="C76" s="8" t="s">
        <v>2219</v>
      </c>
      <c r="D76" s="19" t="s">
        <v>2220</v>
      </c>
    </row>
    <row r="77" spans="1:4" x14ac:dyDescent="0.35">
      <c r="A77" s="33" t="s">
        <v>1192</v>
      </c>
      <c r="B77" s="8" t="s">
        <v>2221</v>
      </c>
      <c r="C77" s="8" t="s">
        <v>2222</v>
      </c>
      <c r="D77" s="19" t="s">
        <v>2223</v>
      </c>
    </row>
    <row r="78" spans="1:4" x14ac:dyDescent="0.35">
      <c r="A78" s="33" t="s">
        <v>2224</v>
      </c>
      <c r="B78" s="8" t="s">
        <v>2225</v>
      </c>
      <c r="C78" s="8" t="s">
        <v>2226</v>
      </c>
      <c r="D78" s="19" t="s">
        <v>2227</v>
      </c>
    </row>
    <row r="79" spans="1:4" x14ac:dyDescent="0.35">
      <c r="A79" s="33" t="s">
        <v>2228</v>
      </c>
      <c r="B79" s="8" t="s">
        <v>2229</v>
      </c>
      <c r="C79" s="8" t="s">
        <v>2230</v>
      </c>
      <c r="D79" s="19" t="s">
        <v>2227</v>
      </c>
    </row>
    <row r="80" spans="1:4" x14ac:dyDescent="0.35">
      <c r="A80" s="33" t="s">
        <v>1241</v>
      </c>
      <c r="B80" s="8" t="s">
        <v>2231</v>
      </c>
      <c r="C80" s="8" t="s">
        <v>2232</v>
      </c>
      <c r="D80" s="19" t="s">
        <v>2233</v>
      </c>
    </row>
    <row r="81" spans="1:4" x14ac:dyDescent="0.35">
      <c r="A81" s="33" t="s">
        <v>1249</v>
      </c>
      <c r="B81" s="8" t="s">
        <v>2234</v>
      </c>
      <c r="C81" s="8" t="s">
        <v>2235</v>
      </c>
      <c r="D81" s="19" t="s">
        <v>2236</v>
      </c>
    </row>
    <row r="82" spans="1:4" x14ac:dyDescent="0.35">
      <c r="A82" s="33" t="s">
        <v>1210</v>
      </c>
      <c r="B82" s="8" t="s">
        <v>2237</v>
      </c>
      <c r="C82" s="8" t="s">
        <v>2238</v>
      </c>
      <c r="D82" s="19" t="s">
        <v>2239</v>
      </c>
    </row>
    <row r="83" spans="1:4" x14ac:dyDescent="0.35">
      <c r="A83" s="33" t="s">
        <v>1348</v>
      </c>
      <c r="B83" s="8" t="s">
        <v>2240</v>
      </c>
      <c r="C83" s="8" t="s">
        <v>2241</v>
      </c>
      <c r="D83" s="19" t="s">
        <v>2242</v>
      </c>
    </row>
    <row r="84" spans="1:4" x14ac:dyDescent="0.35">
      <c r="A84" s="33" t="s">
        <v>1929</v>
      </c>
      <c r="B84" s="8" t="s">
        <v>2243</v>
      </c>
      <c r="C84" s="8" t="s">
        <v>2244</v>
      </c>
      <c r="D84" s="19" t="s">
        <v>2245</v>
      </c>
    </row>
    <row r="85" spans="1:4" x14ac:dyDescent="0.35">
      <c r="A85" s="33" t="s">
        <v>1868</v>
      </c>
      <c r="B85" s="8" t="s">
        <v>2246</v>
      </c>
      <c r="C85" s="8" t="s">
        <v>2247</v>
      </c>
      <c r="D85" s="19" t="s">
        <v>2248</v>
      </c>
    </row>
    <row r="86" spans="1:4" x14ac:dyDescent="0.35">
      <c r="A86" s="33" t="s">
        <v>2249</v>
      </c>
      <c r="B86" s="8" t="s">
        <v>2250</v>
      </c>
      <c r="C86" s="8" t="s">
        <v>2251</v>
      </c>
      <c r="D86" s="19" t="s">
        <v>2252</v>
      </c>
    </row>
    <row r="87" spans="1:4" x14ac:dyDescent="0.35">
      <c r="A87" s="33" t="s">
        <v>1617</v>
      </c>
      <c r="B87" s="8" t="s">
        <v>2253</v>
      </c>
      <c r="C87" s="8" t="s">
        <v>2254</v>
      </c>
      <c r="D87" s="19" t="s">
        <v>2255</v>
      </c>
    </row>
    <row r="88" spans="1:4" x14ac:dyDescent="0.35">
      <c r="A88" s="33" t="s">
        <v>1843</v>
      </c>
      <c r="B88" s="8" t="s">
        <v>2256</v>
      </c>
      <c r="C88" s="8" t="s">
        <v>2257</v>
      </c>
      <c r="D88" s="19" t="s">
        <v>2258</v>
      </c>
    </row>
    <row r="89" spans="1:4" x14ac:dyDescent="0.35">
      <c r="A89" s="33" t="s">
        <v>1681</v>
      </c>
      <c r="B89" s="8" t="s">
        <v>2259</v>
      </c>
      <c r="C89" s="8" t="s">
        <v>2260</v>
      </c>
      <c r="D89" s="19" t="s">
        <v>2261</v>
      </c>
    </row>
    <row r="90" spans="1:4" x14ac:dyDescent="0.35">
      <c r="A90" s="33" t="s">
        <v>1687</v>
      </c>
      <c r="B90" s="8" t="s">
        <v>2262</v>
      </c>
      <c r="C90" s="8" t="s">
        <v>2263</v>
      </c>
      <c r="D90" s="19" t="s">
        <v>2264</v>
      </c>
    </row>
    <row r="91" spans="1:4" x14ac:dyDescent="0.35">
      <c r="A91" s="33" t="s">
        <v>1703</v>
      </c>
      <c r="B91" s="8" t="s">
        <v>2265</v>
      </c>
      <c r="C91" s="8" t="s">
        <v>2266</v>
      </c>
      <c r="D91" s="19" t="s">
        <v>2267</v>
      </c>
    </row>
    <row r="92" spans="1:4" ht="26" x14ac:dyDescent="0.35">
      <c r="A92" s="33" t="s">
        <v>453</v>
      </c>
      <c r="B92" s="8" t="s">
        <v>2268</v>
      </c>
      <c r="C92" s="8" t="s">
        <v>2269</v>
      </c>
      <c r="D92" s="19" t="s">
        <v>620</v>
      </c>
    </row>
    <row r="93" spans="1:4" x14ac:dyDescent="0.35">
      <c r="A93" s="33" t="s">
        <v>1782</v>
      </c>
      <c r="B93" s="8" t="s">
        <v>2270</v>
      </c>
      <c r="C93" s="8" t="s">
        <v>2271</v>
      </c>
      <c r="D93" s="19" t="s">
        <v>2272</v>
      </c>
    </row>
    <row r="94" spans="1:4" x14ac:dyDescent="0.35">
      <c r="A94" s="33" t="s">
        <v>1270</v>
      </c>
      <c r="B94" s="8" t="s">
        <v>2273</v>
      </c>
      <c r="C94" s="8" t="s">
        <v>2274</v>
      </c>
      <c r="D94" s="19" t="s">
        <v>2275</v>
      </c>
    </row>
    <row r="95" spans="1:4" x14ac:dyDescent="0.35">
      <c r="A95" s="33" t="s">
        <v>1601</v>
      </c>
      <c r="B95" s="8" t="s">
        <v>2276</v>
      </c>
      <c r="C95" s="8" t="s">
        <v>2277</v>
      </c>
      <c r="D95" s="19" t="s">
        <v>2278</v>
      </c>
    </row>
    <row r="97" spans="1:4" ht="15.5" x14ac:dyDescent="0.35">
      <c r="A97" s="52" t="s">
        <v>58</v>
      </c>
      <c r="B97" s="53"/>
      <c r="C97" s="53"/>
      <c r="D97" s="53"/>
    </row>
    <row r="98" spans="1:4" ht="40" customHeight="1" x14ac:dyDescent="0.35">
      <c r="A98" s="67" t="s">
        <v>2279</v>
      </c>
      <c r="B98" s="53"/>
      <c r="C98" s="53"/>
      <c r="D98" s="53"/>
    </row>
    <row r="101" spans="1:4" ht="29" x14ac:dyDescent="0.35">
      <c r="A101" s="38" t="s">
        <v>2280</v>
      </c>
      <c r="B101" s="38"/>
      <c r="C101" s="38"/>
      <c r="D101" s="38"/>
    </row>
    <row r="102" spans="1:4" ht="29" x14ac:dyDescent="0.35">
      <c r="A102" s="40" t="s">
        <v>138</v>
      </c>
      <c r="B102" s="40" t="s">
        <v>2281</v>
      </c>
      <c r="C102" s="40" t="s">
        <v>2282</v>
      </c>
      <c r="D102" s="40" t="s">
        <v>2283</v>
      </c>
    </row>
    <row r="103" spans="1:4" ht="29" x14ac:dyDescent="0.35">
      <c r="A103" s="40" t="s">
        <v>145</v>
      </c>
      <c r="B103" s="40" t="s">
        <v>2284</v>
      </c>
      <c r="C103" s="40" t="s">
        <v>2285</v>
      </c>
      <c r="D103" s="40" t="s">
        <v>2286</v>
      </c>
    </row>
    <row r="104" spans="1:4" ht="58" x14ac:dyDescent="0.35">
      <c r="A104" s="40" t="s">
        <v>228</v>
      </c>
      <c r="B104" s="40" t="s">
        <v>2287</v>
      </c>
      <c r="C104" s="40" t="s">
        <v>2288</v>
      </c>
      <c r="D104" s="40" t="s">
        <v>2289</v>
      </c>
    </row>
    <row r="105" spans="1:4" ht="29" x14ac:dyDescent="0.35">
      <c r="A105" s="40" t="s">
        <v>2290</v>
      </c>
      <c r="B105" s="40" t="s">
        <v>2291</v>
      </c>
      <c r="C105" s="40" t="s">
        <v>2292</v>
      </c>
      <c r="D105" s="40" t="s">
        <v>2293</v>
      </c>
    </row>
    <row r="106" spans="1:4" ht="29" x14ac:dyDescent="0.35">
      <c r="A106" s="40" t="s">
        <v>162</v>
      </c>
      <c r="B106" s="40" t="s">
        <v>2294</v>
      </c>
      <c r="C106" s="40" t="s">
        <v>2295</v>
      </c>
      <c r="D106" s="40" t="s">
        <v>2296</v>
      </c>
    </row>
  </sheetData>
  <mergeCells count="4">
    <mergeCell ref="A97:D97"/>
    <mergeCell ref="A34:D34"/>
    <mergeCell ref="A4:D4"/>
    <mergeCell ref="A98:D9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80"/>
  <sheetViews>
    <sheetView workbookViewId="0">
      <selection activeCell="B22" sqref="B22"/>
    </sheetView>
  </sheetViews>
  <sheetFormatPr defaultRowHeight="14.5" x14ac:dyDescent="0.35"/>
  <cols>
    <col min="1" max="1" width="18" customWidth="1"/>
    <col min="2" max="3" width="26" customWidth="1"/>
    <col min="4" max="4" width="28" customWidth="1"/>
    <col min="5" max="5" width="35.08984375" customWidth="1"/>
    <col min="6" max="6" width="26" customWidth="1"/>
    <col min="7" max="7" width="38" customWidth="1"/>
    <col min="8" max="8" width="14" customWidth="1"/>
    <col min="9" max="9" width="20" customWidth="1"/>
    <col min="10" max="10" width="12" customWidth="1"/>
    <col min="11" max="12" width="20" customWidth="1"/>
  </cols>
  <sheetData>
    <row r="1" spans="1:12" ht="29" x14ac:dyDescent="0.35">
      <c r="A1" s="34" t="s">
        <v>2297</v>
      </c>
      <c r="B1" s="39"/>
      <c r="C1" s="39"/>
      <c r="D1" s="39"/>
      <c r="E1" s="39"/>
      <c r="F1" s="39"/>
      <c r="G1" s="39"/>
      <c r="H1" s="39"/>
      <c r="I1" s="39"/>
      <c r="J1" s="39"/>
      <c r="K1" s="49" t="s">
        <v>1</v>
      </c>
      <c r="L1" s="50" t="s">
        <v>2</v>
      </c>
    </row>
    <row r="2" spans="1:12" x14ac:dyDescent="0.35">
      <c r="A2" s="68" t="s">
        <v>2298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x14ac:dyDescent="0.3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2" ht="29" x14ac:dyDescent="0.35">
      <c r="A4" s="35" t="s">
        <v>238</v>
      </c>
      <c r="B4" s="35" t="s">
        <v>2299</v>
      </c>
      <c r="C4" s="35" t="s">
        <v>2300</v>
      </c>
      <c r="D4" s="35" t="s">
        <v>2301</v>
      </c>
      <c r="E4" s="35" t="s">
        <v>2302</v>
      </c>
      <c r="F4" s="35" t="s">
        <v>2303</v>
      </c>
      <c r="G4" s="35" t="s">
        <v>119</v>
      </c>
      <c r="H4" s="35" t="s">
        <v>122</v>
      </c>
      <c r="I4" s="35" t="s">
        <v>121</v>
      </c>
      <c r="J4" s="40"/>
      <c r="K4" s="40"/>
      <c r="L4" s="40"/>
    </row>
    <row r="5" spans="1:12" s="70" customFormat="1" ht="29" x14ac:dyDescent="0.35">
      <c r="A5" s="69" t="s">
        <v>529</v>
      </c>
      <c r="B5" s="69" t="s">
        <v>2304</v>
      </c>
      <c r="C5" s="69" t="s">
        <v>2305</v>
      </c>
      <c r="D5" s="69" t="s">
        <v>2306</v>
      </c>
      <c r="E5" s="69" t="s">
        <v>2307</v>
      </c>
      <c r="F5" s="69" t="s">
        <v>2308</v>
      </c>
      <c r="G5" s="69" t="s">
        <v>2309</v>
      </c>
      <c r="H5" s="69" t="s">
        <v>138</v>
      </c>
      <c r="I5" s="69" t="s">
        <v>2310</v>
      </c>
      <c r="J5" s="69"/>
      <c r="K5" s="69"/>
      <c r="L5" s="69"/>
    </row>
    <row r="6" spans="1:12" s="70" customFormat="1" ht="29" x14ac:dyDescent="0.35">
      <c r="A6" s="69" t="s">
        <v>201</v>
      </c>
      <c r="B6" s="69" t="s">
        <v>2311</v>
      </c>
      <c r="C6" s="69" t="s">
        <v>2312</v>
      </c>
      <c r="D6" s="69" t="s">
        <v>2313</v>
      </c>
      <c r="E6" s="69" t="s">
        <v>2314</v>
      </c>
      <c r="F6" s="69" t="s">
        <v>2315</v>
      </c>
      <c r="G6" s="69" t="s">
        <v>2316</v>
      </c>
      <c r="H6" s="69" t="s">
        <v>145</v>
      </c>
      <c r="I6" s="69" t="s">
        <v>2317</v>
      </c>
      <c r="J6" s="69"/>
      <c r="K6" s="69"/>
      <c r="L6" s="69"/>
    </row>
    <row r="7" spans="1:12" s="70" customFormat="1" ht="29" x14ac:dyDescent="0.35">
      <c r="A7" s="69" t="s">
        <v>207</v>
      </c>
      <c r="B7" s="69" t="s">
        <v>2318</v>
      </c>
      <c r="C7" s="69" t="s">
        <v>2319</v>
      </c>
      <c r="D7" s="69" t="s">
        <v>2320</v>
      </c>
      <c r="E7" s="69" t="s">
        <v>2321</v>
      </c>
      <c r="F7" s="69" t="s">
        <v>2322</v>
      </c>
      <c r="G7" s="69" t="s">
        <v>2323</v>
      </c>
      <c r="H7" s="69" t="s">
        <v>145</v>
      </c>
      <c r="I7" s="69" t="s">
        <v>2324</v>
      </c>
      <c r="J7" s="69"/>
      <c r="K7" s="69"/>
      <c r="L7" s="69"/>
    </row>
    <row r="8" spans="1:12" s="70" customFormat="1" ht="29" x14ac:dyDescent="0.35">
      <c r="A8" s="69" t="s">
        <v>211</v>
      </c>
      <c r="B8" s="69" t="s">
        <v>2325</v>
      </c>
      <c r="C8" s="69" t="s">
        <v>2326</v>
      </c>
      <c r="D8" s="69" t="s">
        <v>2327</v>
      </c>
      <c r="E8" s="69" t="s">
        <v>2328</v>
      </c>
      <c r="F8" s="69" t="s">
        <v>2329</v>
      </c>
      <c r="G8" s="69" t="s">
        <v>2330</v>
      </c>
      <c r="H8" s="69" t="s">
        <v>138</v>
      </c>
      <c r="I8" s="69" t="s">
        <v>2331</v>
      </c>
      <c r="J8" s="69"/>
      <c r="K8" s="69"/>
      <c r="L8" s="69"/>
    </row>
    <row r="9" spans="1:12" s="70" customFormat="1" ht="29" x14ac:dyDescent="0.35">
      <c r="A9" s="69" t="s">
        <v>2332</v>
      </c>
      <c r="B9" s="69" t="s">
        <v>2333</v>
      </c>
      <c r="C9" s="69" t="s">
        <v>2334</v>
      </c>
      <c r="D9" s="69" t="s">
        <v>2335</v>
      </c>
      <c r="E9" s="69" t="s">
        <v>2336</v>
      </c>
      <c r="F9" s="69" t="s">
        <v>2337</v>
      </c>
      <c r="G9" s="69" t="s">
        <v>2338</v>
      </c>
      <c r="H9" s="69" t="s">
        <v>138</v>
      </c>
      <c r="I9" s="69" t="s">
        <v>2339</v>
      </c>
      <c r="J9" s="69"/>
      <c r="K9" s="69"/>
      <c r="L9" s="69"/>
    </row>
    <row r="10" spans="1:12" s="70" customFormat="1" ht="29" x14ac:dyDescent="0.35">
      <c r="A10" s="69" t="s">
        <v>2340</v>
      </c>
      <c r="B10" s="69" t="s">
        <v>700</v>
      </c>
      <c r="C10" s="69" t="s">
        <v>2341</v>
      </c>
      <c r="D10" s="69" t="s">
        <v>2342</v>
      </c>
      <c r="E10" s="69" t="s">
        <v>2343</v>
      </c>
      <c r="F10" s="69" t="s">
        <v>2344</v>
      </c>
      <c r="G10" s="69" t="s">
        <v>2345</v>
      </c>
      <c r="H10" s="69" t="s">
        <v>138</v>
      </c>
      <c r="I10" s="69" t="s">
        <v>2346</v>
      </c>
      <c r="J10" s="69"/>
      <c r="K10" s="69"/>
      <c r="L10" s="69"/>
    </row>
    <row r="11" spans="1:12" s="70" customFormat="1" ht="29" x14ac:dyDescent="0.35">
      <c r="A11" s="69" t="s">
        <v>222</v>
      </c>
      <c r="B11" s="69" t="s">
        <v>2347</v>
      </c>
      <c r="C11" s="69" t="s">
        <v>2348</v>
      </c>
      <c r="D11" s="69" t="s">
        <v>2349</v>
      </c>
      <c r="E11" s="69" t="s">
        <v>2350</v>
      </c>
      <c r="F11" s="69" t="s">
        <v>2351</v>
      </c>
      <c r="G11" s="69" t="s">
        <v>2352</v>
      </c>
      <c r="H11" s="69" t="s">
        <v>228</v>
      </c>
      <c r="I11" s="69" t="s">
        <v>2353</v>
      </c>
      <c r="J11" s="69"/>
      <c r="K11" s="69"/>
      <c r="L11" s="69"/>
    </row>
    <row r="12" spans="1:12" s="70" customFormat="1" ht="29" x14ac:dyDescent="0.35">
      <c r="A12" s="69" t="s">
        <v>533</v>
      </c>
      <c r="B12" s="69" t="s">
        <v>2354</v>
      </c>
      <c r="C12" s="69" t="s">
        <v>154</v>
      </c>
      <c r="D12" s="69" t="s">
        <v>1043</v>
      </c>
      <c r="E12" s="69" t="s">
        <v>2355</v>
      </c>
      <c r="F12" s="69" t="s">
        <v>2356</v>
      </c>
      <c r="G12" s="69" t="s">
        <v>2357</v>
      </c>
      <c r="H12" s="69" t="s">
        <v>138</v>
      </c>
      <c r="I12" s="69"/>
      <c r="J12" s="69"/>
      <c r="K12" s="69"/>
      <c r="L12" s="69"/>
    </row>
    <row r="13" spans="1:12" s="70" customFormat="1" x14ac:dyDescent="0.35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</row>
    <row r="14" spans="1:12" s="70" customFormat="1" ht="43.5" x14ac:dyDescent="0.35">
      <c r="A14" s="69" t="s">
        <v>2358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</row>
    <row r="15" spans="1:12" s="70" customFormat="1" x14ac:dyDescent="0.35">
      <c r="A15" s="69" t="s">
        <v>2359</v>
      </c>
      <c r="B15" s="69" t="s">
        <v>2360</v>
      </c>
      <c r="C15" s="69" t="s">
        <v>2361</v>
      </c>
      <c r="D15" s="69" t="s">
        <v>2362</v>
      </c>
      <c r="E15" s="69" t="s">
        <v>1637</v>
      </c>
      <c r="F15" s="69"/>
      <c r="G15" s="69"/>
      <c r="H15" s="69"/>
      <c r="I15" s="69"/>
      <c r="J15" s="69"/>
      <c r="K15" s="69"/>
      <c r="L15" s="69"/>
    </row>
    <row r="16" spans="1:12" s="70" customFormat="1" ht="43.5" x14ac:dyDescent="0.35">
      <c r="A16" s="69" t="s">
        <v>2363</v>
      </c>
      <c r="B16" s="69" t="s">
        <v>2364</v>
      </c>
      <c r="C16" s="69" t="s">
        <v>2365</v>
      </c>
      <c r="D16" s="69" t="s">
        <v>2366</v>
      </c>
      <c r="E16" s="69" t="s">
        <v>2367</v>
      </c>
      <c r="F16" s="69"/>
      <c r="G16" s="69"/>
      <c r="H16" s="69"/>
      <c r="I16" s="69"/>
      <c r="J16" s="69"/>
      <c r="K16" s="69"/>
      <c r="L16" s="69"/>
    </row>
    <row r="17" spans="1:12" s="70" customFormat="1" x14ac:dyDescent="0.35">
      <c r="A17" s="38" t="s">
        <v>1975</v>
      </c>
      <c r="B17" s="38" t="s">
        <v>2368</v>
      </c>
      <c r="C17" s="38" t="s">
        <v>2369</v>
      </c>
      <c r="D17" s="38" t="s">
        <v>2370</v>
      </c>
      <c r="E17" s="38" t="s">
        <v>2371</v>
      </c>
      <c r="F17" s="69"/>
      <c r="G17" s="69"/>
      <c r="H17" s="69"/>
      <c r="I17" s="69"/>
      <c r="J17" s="69"/>
      <c r="K17" s="69"/>
      <c r="L17" s="69"/>
    </row>
    <row r="18" spans="1:12" s="70" customFormat="1" ht="29" x14ac:dyDescent="0.35">
      <c r="A18" s="69" t="s">
        <v>2372</v>
      </c>
      <c r="B18" s="69" t="s">
        <v>2373</v>
      </c>
      <c r="C18" s="69" t="s">
        <v>2374</v>
      </c>
      <c r="D18" s="69" t="s">
        <v>2375</v>
      </c>
      <c r="E18" s="69" t="s">
        <v>2376</v>
      </c>
      <c r="F18" s="69"/>
      <c r="G18" s="69"/>
      <c r="H18" s="69"/>
      <c r="I18" s="69"/>
      <c r="J18" s="69"/>
      <c r="K18" s="69"/>
      <c r="L18" s="69"/>
    </row>
    <row r="19" spans="1:12" s="70" customFormat="1" ht="29" x14ac:dyDescent="0.35">
      <c r="A19" s="69" t="s">
        <v>2377</v>
      </c>
      <c r="B19" s="69" t="s">
        <v>2378</v>
      </c>
      <c r="C19" s="69" t="s">
        <v>2379</v>
      </c>
      <c r="D19" s="69" t="s">
        <v>2380</v>
      </c>
      <c r="E19" s="69" t="s">
        <v>2381</v>
      </c>
      <c r="F19" s="69"/>
      <c r="G19" s="69"/>
      <c r="H19" s="69"/>
      <c r="I19" s="69"/>
      <c r="J19" s="69"/>
      <c r="K19" s="69"/>
      <c r="L19" s="69"/>
    </row>
    <row r="20" spans="1:12" x14ac:dyDescent="0.3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</row>
    <row r="21" spans="1:12" x14ac:dyDescent="0.3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12" x14ac:dyDescent="0.3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spans="1:12" x14ac:dyDescent="0.3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4" spans="1:12" x14ac:dyDescent="0.3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spans="1:12" x14ac:dyDescent="0.3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</row>
    <row r="26" spans="1:12" x14ac:dyDescent="0.3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spans="1:12" x14ac:dyDescent="0.3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8" spans="1:12" x14ac:dyDescent="0.3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</row>
    <row r="29" spans="1:12" x14ac:dyDescent="0.3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spans="1:12" x14ac:dyDescent="0.3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spans="1:12" x14ac:dyDescent="0.3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spans="1:12" x14ac:dyDescent="0.3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</row>
    <row r="33" spans="1:12" x14ac:dyDescent="0.3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</row>
    <row r="34" spans="1:12" x14ac:dyDescent="0.3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5" spans="1:12" x14ac:dyDescent="0.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spans="1:12" x14ac:dyDescent="0.3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1:12" x14ac:dyDescent="0.3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</row>
    <row r="38" spans="1:12" x14ac:dyDescent="0.3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</row>
    <row r="39" spans="1:12" x14ac:dyDescent="0.3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spans="1:12" x14ac:dyDescent="0.3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1:12" x14ac:dyDescent="0.3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</row>
    <row r="42" spans="1:12" x14ac:dyDescent="0.3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</row>
    <row r="43" spans="1:12" x14ac:dyDescent="0.3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</row>
    <row r="44" spans="1:12" x14ac:dyDescent="0.3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spans="1:12" x14ac:dyDescent="0.3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1:12" x14ac:dyDescent="0.3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2" x14ac:dyDescent="0.3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spans="1:12" x14ac:dyDescent="0.3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</row>
    <row r="49" spans="1:12" x14ac:dyDescent="0.3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</row>
    <row r="50" spans="1:12" x14ac:dyDescent="0.3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</row>
    <row r="51" spans="1:12" x14ac:dyDescent="0.3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</row>
    <row r="52" spans="1:12" x14ac:dyDescent="0.3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</row>
    <row r="53" spans="1:12" x14ac:dyDescent="0.3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</row>
    <row r="54" spans="1:12" x14ac:dyDescent="0.3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2" x14ac:dyDescent="0.3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2" x14ac:dyDescent="0.3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</row>
    <row r="57" spans="1:12" x14ac:dyDescent="0.3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2" x14ac:dyDescent="0.3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2" x14ac:dyDescent="0.3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</row>
    <row r="60" spans="1:12" x14ac:dyDescent="0.3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2" x14ac:dyDescent="0.3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2" x14ac:dyDescent="0.3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2" x14ac:dyDescent="0.3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2" x14ac:dyDescent="0.3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2" x14ac:dyDescent="0.3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2" x14ac:dyDescent="0.3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2" x14ac:dyDescent="0.3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2" x14ac:dyDescent="0.3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2" x14ac:dyDescent="0.3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2" x14ac:dyDescent="0.3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2" x14ac:dyDescent="0.3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</row>
    <row r="72" spans="1:12" x14ac:dyDescent="0.3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2" x14ac:dyDescent="0.3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</row>
    <row r="74" spans="1:12" x14ac:dyDescent="0.3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2" x14ac:dyDescent="0.3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2" x14ac:dyDescent="0.3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2" x14ac:dyDescent="0.3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2" x14ac:dyDescent="0.3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2" x14ac:dyDescent="0.3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2" x14ac:dyDescent="0.3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00_README</vt:lpstr>
      <vt:lpstr>01_Personal_Settings</vt:lpstr>
      <vt:lpstr>02_Brief_Today</vt:lpstr>
      <vt:lpstr>03_Guided_Steps</vt:lpstr>
      <vt:lpstr>04_Deep_Protocol</vt:lpstr>
      <vt:lpstr>05_30Day_Rotation</vt:lpstr>
      <vt:lpstr>06_Weekly_Plan</vt:lpstr>
      <vt:lpstr>07_Exercise_Library</vt:lpstr>
      <vt:lpstr>08_Nutrition</vt:lpstr>
      <vt:lpstr>09_Supplements</vt:lpstr>
      <vt:lpstr>10_Blood_Markers</vt:lpstr>
      <vt:lpstr>11_Screenings_Safety</vt:lpstr>
      <vt:lpstr>12_Sleep_Recovery</vt:lpstr>
      <vt:lpstr>13_Cognitive_Social</vt:lpstr>
      <vt:lpstr>14_Dashboard</vt:lpstr>
      <vt:lpstr>15_Sources</vt:lpstr>
      <vt:lpstr>16_Progression_Weeks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Pankaj Chopra</cp:lastModifiedBy>
  <dcterms:modified xsi:type="dcterms:W3CDTF">2026-05-16T04:33:40Z</dcterms:modified>
</cp:coreProperties>
</file>